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67f3c3de6460a7f9/2025 Temp/Project/Done/"/>
    </mc:Choice>
  </mc:AlternateContent>
  <xr:revisionPtr revIDLastSave="0" documentId="8_{677FFFC0-D7E1-4AB4-9BFD-62F9D0FB551E}" xr6:coauthVersionLast="47" xr6:coauthVersionMax="47" xr10:uidLastSave="{00000000-0000-0000-0000-000000000000}"/>
  <bookViews>
    <workbookView xWindow="-110" yWindow="-110" windowWidth="19420" windowHeight="10300" activeTab="3" xr2:uid="{00000000-000D-0000-FFFF-FFFF00000000}"/>
  </bookViews>
  <sheets>
    <sheet name="Raw Data" sheetId="1" r:id="rId1"/>
    <sheet name="Working Sheet" sheetId="2" r:id="rId2"/>
    <sheet name="Analysis" sheetId="3" r:id="rId3"/>
    <sheet name="Dashboard" sheetId="4" r:id="rId4"/>
  </sheets>
  <definedNames>
    <definedName name="_xlnm._FilterDatabase" localSheetId="0" hidden="1">'Raw Data'!$A$1:$M$1001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5" i="3" l="1"/>
  <c r="Z35" i="3" a="1"/>
  <c r="Z35" i="3" s="1"/>
  <c r="Y35" i="3" a="1"/>
  <c r="Y35" i="3" s="1"/>
  <c r="Y27" i="3"/>
  <c r="Y26" i="3"/>
  <c r="Y4" i="3"/>
  <c r="W18" i="3"/>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<sst xmlns="http://schemas.openxmlformats.org/spreadsheetml/2006/main" count="16288" uniqueCount="57">
  <si>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</si>
  <si>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</si>
  <si>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</si>
  <si>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</si>
  <si>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</si>
  <si>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</si>
  <si>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</si>
  <si>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</si>
  <si>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</si>
  <si>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</si>
  <si>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</si>
  <si>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</si>
  <si>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</si>
  <si>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</si>
  <si>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</si>
  <si>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</si>
  <si>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</si>
  <si>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</si>
  <si>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</si>
  <si>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</si>
  <si>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</si>
  <si>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</si>
  <si>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</si>
  <si>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</si>
  <si>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</si>
  <si>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</si>
  <si>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</si>
  <si>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</si>
  <si>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</si>
  <si>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</si>
  <si>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</si>
  <si>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</si>
  <si>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</si>
  <si>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</si>
  <si>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</si>
  <si>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</si>
  <si>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</si>
  <si>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</si>
  <si>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</si>
  <si>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</si>
  <si>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Age_Group</t>
  </si>
  <si>
    <t>Row Labels</t>
  </si>
  <si>
    <t>Grand Total</t>
  </si>
  <si>
    <t>Average of Income</t>
  </si>
  <si>
    <t>Column Labels</t>
  </si>
  <si>
    <t>Count of Purchased Bike</t>
  </si>
  <si>
    <t>More than 10 Miles</t>
  </si>
  <si>
    <t>Adolescent</t>
  </si>
  <si>
    <t>Middle Age</t>
  </si>
  <si>
    <t>Old</t>
  </si>
  <si>
    <t>Total Buyers</t>
  </si>
  <si>
    <t>Avg Income of Buyers</t>
  </si>
  <si>
    <t>KPIs: Total Customers</t>
  </si>
  <si>
    <t>Count of ID</t>
  </si>
  <si>
    <t>Conversion Rate (% Who Purchased a Bike)</t>
  </si>
  <si>
    <t>(All)</t>
  </si>
  <si>
    <t>Buyers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</si>
</sst>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quot;$&quot;#,##0.00"/>
    <numFmt numFmtId="165" formatCode="_-&quot;£&quot;* #,##0_-;\-&quot;£&quot;* #,##0_-;_-&quot;£&quot;* &quot;-&quot;??_-;_-@_-"/>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pivotButton="1"/>
    <xf numFmtId="0" fontId="0" fillId="0" borderId="0" xfId="0" applyAlignment="1">
      <alignment horizontal="left"/>
    </xf>
    <xf numFmtId="165" fontId="0" fillId="0" borderId="0" xfId="0" applyNumberFormat="1"/>
    <xf numFmtId="0" fontId="0" fillId="33" borderId="0" xfId="0" applyFill="1"/>
    <xf numFmtId="9" fontId="0" fillId="0" borderId="0" xfId="43" applyFont="1"/>
    <xf numFmtId="166" fontId="0" fillId="0" borderId="0" xfId="0" applyNumberFormat="1"/>
    <xf numFmtId="0" fontId="13" fillId="33" borderId="0" xfId="0" applyFont="1" applyFill="1"/>
    <xf numFmtId="0" fontId="13" fillId="33" borderId="0" xfId="0" applyFont="1" applyFill="1" applyAlignment="1">
      <alignment horizontal="left"/>
    </xf>
    <xf numFmtId="0" fontId="19" fillId="0" borderId="0" xfId="0" applyFont="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3" builtinId="5"/>
    <cellStyle name="Title" xfId="1" builtinId="15" customBuiltin="1"/>
    <cellStyle name="Total" xfId="17" builtinId="25" customBuiltin="1"/>
    <cellStyle name="Warning Text" xfId="14" builtinId="11" customBuiltin="1"/>
  </cellStyles>
  <dxfs count="1">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Bike Sales Dashboard.xlsx]Analysis!PivotTable29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Analysis!$B$3:$B$4</c:f>
              <c:strCache>
                <c:ptCount val="1"/>
                <c:pt idx="0">
                  <c:v>No</c:v>
                </c:pt>
              </c:strCache>
            </c:strRef>
          </c:tx>
          <c:spPr>
            <a:solidFill>
              <a:schemeClr val="accent1"/>
            </a:solidFill>
            <a:ln>
              <a:noFill/>
            </a:ln>
            <a:effectLst/>
          </c:spPr>
          <c:invertIfNegative val="0"/>
          <c:cat>
            <c:strRef>
              <c:f>Analysis!$A$5:$A$7</c:f>
              <c:strCache>
                <c:ptCount val="2"/>
                <c:pt idx="0">
                  <c:v>Female</c:v>
                </c:pt>
                <c:pt idx="1">
                  <c:v>Male</c:v>
                </c:pt>
              </c:strCache>
            </c:strRef>
          </c:cat>
          <c:val>
            <c:numRef>
              <c:f>Analysis!$B$5:$B$7</c:f>
              <c:numCache>
                <c:formatCode>_-"£"* #,##0_-;\-"£"* #,##0_-;_-"£"* "-"??_-;_-@_-</c:formatCode>
                <c:ptCount val="2"/>
                <c:pt idx="0">
                  <c:v>53440</c:v>
                </c:pt>
                <c:pt idx="1">
                  <c:v>56208.178438661707</c:v>
                </c:pt>
              </c:numCache>
            </c:numRef>
          </c:val>
          <c:extLst>
            <c:ext xmlns:c16="http://schemas.microsoft.com/office/drawing/2014/chart" uri="{C3380CC4-5D6E-409C-BE32-E72D297353CC}">
              <c16:uniqueId val="{00000000-9B92-466B-94C4-70968F2645CF}"/>
            </c:ext>
          </c:extLst>
        </c:ser>
        <c:ser>
          <c:idx val="1"/>
          <c:order val="1"/>
          <c:tx>
            <c:strRef>
              <c:f>Analysis!$C$3:$C$4</c:f>
              <c:strCache>
                <c:ptCount val="1"/>
                <c:pt idx="0">
                  <c:v>Yes</c:v>
                </c:pt>
              </c:strCache>
            </c:strRef>
          </c:tx>
          <c:spPr>
            <a:solidFill>
              <a:schemeClr val="accent2"/>
            </a:solidFill>
            <a:ln>
              <a:noFill/>
            </a:ln>
            <a:effectLst/>
          </c:spPr>
          <c:invertIfNegative val="0"/>
          <c:cat>
            <c:strRef>
              <c:f>Analysis!$A$5:$A$7</c:f>
              <c:strCache>
                <c:ptCount val="2"/>
                <c:pt idx="0">
                  <c:v>Female</c:v>
                </c:pt>
                <c:pt idx="1">
                  <c:v>Male</c:v>
                </c:pt>
              </c:strCache>
            </c:strRef>
          </c:cat>
          <c:val>
            <c:numRef>
              <c:f>Analysis!$C$5:$C$7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9B92-466B-94C4-70968F2645CF}"/>
            </c:ext>
          </c:extLst>
        </c:ser>
        <c:dLbls>
          <c:showLegendKey val="0"/>
          <c:showVal val="0"/>
          <c:showCatName val="0"/>
          <c:showSerName val="0"/>
          <c:showPercent val="0"/>
          <c:showBubbleSize val="0"/>
        </c:dLbls>
        <c:gapWidth val="219"/>
        <c:overlap val="-27"/>
        <c:axId val="1876142031"/>
        <c:axId val="1876134831"/>
      </c:barChart>
      <c:catAx>
        <c:axId val="1876142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134831"/>
        <c:crosses val="autoZero"/>
        <c:auto val="1"/>
        <c:lblAlgn val="ctr"/>
        <c:lblOffset val="100"/>
        <c:noMultiLvlLbl val="0"/>
      </c:catAx>
      <c:valAx>
        <c:axId val="1876134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14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Bike Sales Dashboard.xlsx]Analysis!PivotTable30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Analysis!$I$3:$I$4</c:f>
              <c:strCache>
                <c:ptCount val="1"/>
                <c:pt idx="0">
                  <c:v>No</c:v>
                </c:pt>
              </c:strCache>
            </c:strRef>
          </c:tx>
          <c:spPr>
            <a:ln w="28575" cap="rnd">
              <a:solidFill>
                <a:schemeClr val="accent1"/>
              </a:solidFill>
              <a:round/>
            </a:ln>
            <a:effectLst/>
          </c:spPr>
          <c:marker>
            <c:symbol val="none"/>
          </c:marker>
          <c:cat>
            <c:strRef>
              <c:f>Analysis!$H$5:$H$10</c:f>
              <c:strCache>
                <c:ptCount val="5"/>
                <c:pt idx="0">
                  <c:v>0-1 Miles</c:v>
                </c:pt>
                <c:pt idx="1">
                  <c:v>1-2 Miles</c:v>
                </c:pt>
                <c:pt idx="2">
                  <c:v>2-5 Miles</c:v>
                </c:pt>
                <c:pt idx="3">
                  <c:v>5-10 Miles</c:v>
                </c:pt>
                <c:pt idx="4">
                  <c:v>More than 10 Miles</c:v>
                </c:pt>
              </c:strCache>
            </c:strRef>
          </c:cat>
          <c:val>
            <c:numRef>
              <c:f>Analysis!$I$5:$I$10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774-492B-8067-36068939BCBA}"/>
            </c:ext>
          </c:extLst>
        </c:ser>
        <c:ser>
          <c:idx val="1"/>
          <c:order val="1"/>
          <c:tx>
            <c:strRef>
              <c:f>Analysis!$J$3:$J$4</c:f>
              <c:strCache>
                <c:ptCount val="1"/>
                <c:pt idx="0">
                  <c:v>Yes</c:v>
                </c:pt>
              </c:strCache>
            </c:strRef>
          </c:tx>
          <c:spPr>
            <a:ln w="28575" cap="rnd">
              <a:solidFill>
                <a:schemeClr val="accent2"/>
              </a:solidFill>
              <a:round/>
            </a:ln>
            <a:effectLst/>
          </c:spPr>
          <c:marker>
            <c:symbol val="none"/>
          </c:marker>
          <c:cat>
            <c:strRef>
              <c:f>Analysis!$H$5:$H$10</c:f>
              <c:strCache>
                <c:ptCount val="5"/>
                <c:pt idx="0">
                  <c:v>0-1 Miles</c:v>
                </c:pt>
                <c:pt idx="1">
                  <c:v>1-2 Miles</c:v>
                </c:pt>
                <c:pt idx="2">
                  <c:v>2-5 Miles</c:v>
                </c:pt>
                <c:pt idx="3">
                  <c:v>5-10 Miles</c:v>
                </c:pt>
                <c:pt idx="4">
                  <c:v>More than 10 Miles</c:v>
                </c:pt>
              </c:strCache>
            </c:strRef>
          </c:cat>
          <c:val>
            <c:numRef>
              <c:f>Analysis!$J$5:$J$10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774-492B-8067-36068939BCBA}"/>
            </c:ext>
          </c:extLst>
        </c:ser>
        <c:dLbls>
          <c:showLegendKey val="0"/>
          <c:showVal val="0"/>
          <c:showCatName val="0"/>
          <c:showSerName val="0"/>
          <c:showPercent val="0"/>
          <c:showBubbleSize val="0"/>
        </c:dLbls>
        <c:smooth val="0"/>
        <c:axId val="1880874047"/>
        <c:axId val="1880874527"/>
      </c:lineChart>
      <c:catAx>
        <c:axId val="1880874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874527"/>
        <c:crosses val="autoZero"/>
        <c:auto val="1"/>
        <c:lblAlgn val="ctr"/>
        <c:lblOffset val="100"/>
        <c:noMultiLvlLbl val="0"/>
      </c:catAx>
      <c:valAx>
        <c:axId val="188087452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87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Bike Sales Dashboard.xlsx]Analysis!PivotTable31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Group</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Analysis!$P$3:$P$4</c:f>
              <c:strCache>
                <c:ptCount val="1"/>
                <c:pt idx="0">
                  <c:v>No</c:v>
                </c:pt>
              </c:strCache>
            </c:strRef>
          </c:tx>
          <c:spPr>
            <a:ln w="28575" cap="rnd">
              <a:solidFill>
                <a:schemeClr val="accent1"/>
              </a:solidFill>
              <a:round/>
            </a:ln>
            <a:effectLst/>
          </c:spPr>
          <c:marker>
            <c:symbol val="none"/>
          </c:marker>
          <c:cat>
            <c:strRef>
              <c:f>Analysis!$O$5:$O$8</c:f>
              <c:strCache>
                <c:ptCount val="3"/>
                <c:pt idx="0">
                  <c:v>Adolescent</c:v>
                </c:pt>
                <c:pt idx="1">
                  <c:v>Middle Age</c:v>
                </c:pt>
                <c:pt idx="2">
                  <c:v>Old</c:v>
                </c:pt>
              </c:strCache>
            </c:strRef>
          </c:cat>
          <c:val>
            <c:numRef>
              <c:f>Analysis!$P$5:$P$8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CF7-4873-80D5-ECAE6CC47A8C}"/>
            </c:ext>
          </c:extLst>
        </c:ser>
        <c:ser>
          <c:idx val="1"/>
          <c:order val="1"/>
          <c:tx>
            <c:strRef>
              <c:f>Analysis!$Q$3:$Q$4</c:f>
              <c:strCache>
                <c:ptCount val="1"/>
                <c:pt idx="0">
                  <c:v>Yes</c:v>
                </c:pt>
              </c:strCache>
            </c:strRef>
          </c:tx>
          <c:spPr>
            <a:ln w="28575" cap="rnd">
              <a:solidFill>
                <a:schemeClr val="accent2"/>
              </a:solidFill>
              <a:round/>
            </a:ln>
            <a:effectLst/>
          </c:spPr>
          <c:marker>
            <c:symbol val="none"/>
          </c:marker>
          <c:cat>
            <c:strRef>
              <c:f>Analysis!$O$5:$O$8</c:f>
              <c:strCache>
                <c:ptCount val="3"/>
                <c:pt idx="0">
                  <c:v>Adolescent</c:v>
                </c:pt>
                <c:pt idx="1">
                  <c:v>Middle Age</c:v>
                </c:pt>
                <c:pt idx="2">
                  <c:v>Old</c:v>
                </c:pt>
              </c:strCache>
            </c:strRef>
          </c:cat>
          <c:val>
            <c:numRef>
              <c:f>Analysis!$Q$5:$Q$8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CF7-4873-80D5-ECAE6CC47A8C}"/>
            </c:ext>
          </c:extLst>
        </c:ser>
        <c:dLbls>
          <c:showLegendKey val="0"/>
          <c:showVal val="0"/>
          <c:showCatName val="0"/>
          <c:showSerName val="0"/>
          <c:showPercent val="0"/>
          <c:showBubbleSize val="0"/>
        </c:dLbls>
        <c:smooth val="0"/>
        <c:axId val="1895322527"/>
        <c:axId val="1895323967"/>
      </c:lineChart>
      <c:catAx>
        <c:axId val="1895322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Group</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323967"/>
        <c:crosses val="autoZero"/>
        <c:auto val="1"/>
        <c:lblAlgn val="ctr"/>
        <c:lblOffset val="100"/>
        <c:noMultiLvlLbl val="0"/>
      </c:catAx>
      <c:valAx>
        <c:axId val="189532396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32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Bike Sales Dashboard.xlsx]Analysis!PivotTable29</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GB" sz="2000">
                <a:solidFill>
                  <a:srgbClr val="002060"/>
                </a:solidFill>
              </a:rPr>
              <a:t>Average</a:t>
            </a:r>
            <a:r>
              <a:rPr lang="en-GB" sz="2000" baseline="0">
                <a:solidFill>
                  <a:srgbClr val="002060"/>
                </a:solidFill>
              </a:rPr>
              <a:t> Income by Gender</a:t>
            </a:r>
            <a:endParaRPr lang="en-GB" sz="2000">
              <a:solidFill>
                <a:srgbClr val="002060"/>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Analysis!$B$3:$B$4</c:f>
              <c:strCache>
                <c:ptCount val="1"/>
                <c:pt idx="0">
                  <c:v>No</c:v>
                </c:pt>
              </c:strCache>
            </c:strRef>
          </c:tx>
          <c:spPr>
            <a:solidFill>
              <a:schemeClr val="accent1"/>
            </a:solidFill>
            <a:ln>
              <a:noFill/>
            </a:ln>
            <a:effectLst/>
          </c:spPr>
          <c:invertIfNegative val="0"/>
          <c:cat>
            <c:strRef>
              <c:f>Analysis!$A$5:$A$7</c:f>
              <c:strCache>
                <c:ptCount val="2"/>
                <c:pt idx="0">
                  <c:v>Female</c:v>
                </c:pt>
                <c:pt idx="1">
                  <c:v>Male</c:v>
                </c:pt>
              </c:strCache>
            </c:strRef>
          </c:cat>
          <c:val>
            <c:numRef>
              <c:f>Analysis!$B$5:$B$7</c:f>
              <c:numCache>
                <c:formatCode>_-"£"* #,##0_-;\-"£"* #,##0_-;_-"£"* "-"??_-;_-@_-</c:formatCode>
                <c:ptCount val="2"/>
                <c:pt idx="0">
                  <c:v>53440</c:v>
                </c:pt>
                <c:pt idx="1">
                  <c:v>56208.178438661707</c:v>
                </c:pt>
              </c:numCache>
            </c:numRef>
          </c:val>
          <c:extLst>
            <c:ext xmlns:c16="http://schemas.microsoft.com/office/drawing/2014/chart" uri="{C3380CC4-5D6E-409C-BE32-E72D297353CC}">
              <c16:uniqueId val="{00000000-D544-401F-9E04-4A3C4BF2BD56}"/>
            </c:ext>
          </c:extLst>
        </c:ser>
        <c:ser>
          <c:idx val="1"/>
          <c:order val="1"/>
          <c:tx>
            <c:strRef>
              <c:f>Analysis!$C$3:$C$4</c:f>
              <c:strCache>
                <c:ptCount val="1"/>
                <c:pt idx="0">
                  <c:v>Yes</c:v>
                </c:pt>
              </c:strCache>
            </c:strRef>
          </c:tx>
          <c:spPr>
            <a:solidFill>
              <a:schemeClr val="accent1">
                <a:lumMod val="20000"/>
                <a:lumOff val="80000"/>
              </a:schemeClr>
            </a:solidFill>
            <a:ln>
              <a:noFill/>
            </a:ln>
            <a:effectLst/>
          </c:spPr>
          <c:invertIfNegative val="0"/>
          <c:cat>
            <c:strRef>
              <c:f>Analysis!$A$5:$A$7</c:f>
              <c:strCache>
                <c:ptCount val="2"/>
                <c:pt idx="0">
                  <c:v>Female</c:v>
                </c:pt>
                <c:pt idx="1">
                  <c:v>Male</c:v>
                </c:pt>
              </c:strCache>
            </c:strRef>
          </c:cat>
          <c:val>
            <c:numRef>
              <c:f>Analysis!$C$5:$C$7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D544-401F-9E04-4A3C4BF2BD56}"/>
            </c:ext>
          </c:extLst>
        </c:ser>
        <c:dLbls>
          <c:showLegendKey val="0"/>
          <c:showVal val="0"/>
          <c:showCatName val="0"/>
          <c:showSerName val="0"/>
          <c:showPercent val="0"/>
          <c:showBubbleSize val="0"/>
        </c:dLbls>
        <c:gapWidth val="219"/>
        <c:overlap val="-27"/>
        <c:axId val="1876142031"/>
        <c:axId val="1876134831"/>
      </c:barChart>
      <c:catAx>
        <c:axId val="1876142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134831"/>
        <c:crosses val="autoZero"/>
        <c:auto val="1"/>
        <c:lblAlgn val="ctr"/>
        <c:lblOffset val="100"/>
        <c:noMultiLvlLbl val="0"/>
      </c:catAx>
      <c:valAx>
        <c:axId val="18761348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14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[Copy of Bike Sales Dashboard.xlsx]Analysis!PivotTable30</c:name>
    <c:fmtId val="6"/>
  </c:pivotSource>
  <c:chart>
    <c:title>
      <c:tx>
        <c:rich>
          <a:bodyPr rot="0" spcFirstLastPara="1" vertOverflow="ellipsis" vert="horz" wrap="square" anchor="ctr" anchorCtr="1"/>
          <a:lstStyle/>
          <a:p>
            <a:pPr>
              <a:defRPr sz="2000" b="0" i="0" u="none" strike="noStrike" kern="1200" spc="0" baseline="0">
                <a:solidFill>
                  <a:srgbClr val="002060"/>
                </a:solidFill>
                <a:latin typeface="+mn-lt"/>
                <a:ea typeface="+mn-ea"/>
                <a:cs typeface="+mn-cs"/>
              </a:defRPr>
            </a:pPr>
            <a:r>
              <a:rPr lang="en-GB" sz="2000">
                <a:solidFill>
                  <a:srgbClr val="002060"/>
                </a:solidFill>
              </a:rPr>
              <a:t>Customer</a:t>
            </a:r>
            <a:r>
              <a:rPr lang="en-GB" sz="2000" baseline="0">
                <a:solidFill>
                  <a:srgbClr val="002060"/>
                </a:solidFill>
              </a:rPr>
              <a:t> Commute</a:t>
            </a:r>
            <a:endParaRPr lang="en-GB" sz="2000">
              <a:solidFill>
                <a:srgbClr val="002060"/>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rgbClr val="002060"/>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137080189962933E-2"/>
          <c:y val="0.1754758556461001"/>
          <c:w val="0.60141930050309922"/>
          <c:h val="0.61444842840512226"/>
        </c:manualLayout>
      </c:layout>
      <c:lineChart>
        <c:grouping val="standard"/>
        <c:varyColors val="0"/>
        <c:ser>
          <c:idx val="0"/>
          <c:order val="0"/>
          <c:tx>
            <c:strRef>
              <c:f>Analysis!$I$3:$I$4</c:f>
              <c:strCache>
                <c:ptCount val="1"/>
                <c:pt idx="0">
                  <c:v>No</c:v>
                </c:pt>
              </c:strCache>
            </c:strRef>
          </c:tx>
          <c:spPr>
            <a:ln w="28575" cap="rnd">
              <a:solidFill>
                <a:schemeClr val="accent1">
                  <a:shade val="76000"/>
                </a:schemeClr>
              </a:solidFill>
              <a:round/>
            </a:ln>
            <a:effectLst/>
          </c:spPr>
          <c:marker>
            <c:symbol val="none"/>
          </c:marker>
          <c:cat>
            <c:strRef>
              <c:f>Analysis!$H$5:$H$10</c:f>
              <c:strCache>
                <c:ptCount val="5"/>
                <c:pt idx="0">
                  <c:v>0-1 Miles</c:v>
                </c:pt>
                <c:pt idx="1">
                  <c:v>1-2 Miles</c:v>
                </c:pt>
                <c:pt idx="2">
                  <c:v>2-5 Miles</c:v>
                </c:pt>
                <c:pt idx="3">
                  <c:v>5-10 Miles</c:v>
                </c:pt>
                <c:pt idx="4">
                  <c:v>More than 10 Miles</c:v>
                </c:pt>
              </c:strCache>
            </c:strRef>
          </c:cat>
          <c:val>
            <c:numRef>
              <c:f>Analysis!$I$5:$I$10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FDD-461B-A272-BD23B0CDE893}"/>
            </c:ext>
          </c:extLst>
        </c:ser>
        <c:ser>
          <c:idx val="1"/>
          <c:order val="1"/>
          <c:tx>
            <c:strRef>
              <c:f>Analysis!$J$3:$J$4</c:f>
              <c:strCache>
                <c:ptCount val="1"/>
                <c:pt idx="0">
                  <c:v>Yes</c:v>
                </c:pt>
              </c:strCache>
            </c:strRef>
          </c:tx>
          <c:spPr>
            <a:ln w="28575" cap="rnd">
              <a:solidFill>
                <a:schemeClr val="accent1">
                  <a:tint val="77000"/>
                </a:schemeClr>
              </a:solidFill>
              <a:round/>
            </a:ln>
            <a:effectLst/>
          </c:spPr>
          <c:marker>
            <c:symbol val="none"/>
          </c:marker>
          <c:cat>
            <c:strRef>
              <c:f>Analysis!$H$5:$H$10</c:f>
              <c:strCache>
                <c:ptCount val="5"/>
                <c:pt idx="0">
                  <c:v>0-1 Miles</c:v>
                </c:pt>
                <c:pt idx="1">
                  <c:v>1-2 Miles</c:v>
                </c:pt>
                <c:pt idx="2">
                  <c:v>2-5 Miles</c:v>
                </c:pt>
                <c:pt idx="3">
                  <c:v>5-10 Miles</c:v>
                </c:pt>
                <c:pt idx="4">
                  <c:v>More than 10 Miles</c:v>
                </c:pt>
              </c:strCache>
            </c:strRef>
          </c:cat>
          <c:val>
            <c:numRef>
              <c:f>Analysis!$J$5:$J$10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FDD-461B-A272-BD23B0CDE893}"/>
            </c:ext>
          </c:extLst>
        </c:ser>
        <c:dLbls>
          <c:showLegendKey val="0"/>
          <c:showVal val="0"/>
          <c:showCatName val="0"/>
          <c:showSerName val="0"/>
          <c:showPercent val="0"/>
          <c:showBubbleSize val="0"/>
        </c:dLbls>
        <c:smooth val="0"/>
        <c:axId val="1880874047"/>
        <c:axId val="1880874527"/>
      </c:lineChart>
      <c:catAx>
        <c:axId val="1880874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874527"/>
        <c:crosses val="autoZero"/>
        <c:auto val="1"/>
        <c:lblAlgn val="ctr"/>
        <c:lblOffset val="100"/>
        <c:noMultiLvlLbl val="0"/>
      </c:catAx>
      <c:valAx>
        <c:axId val="18808745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Bike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874047"/>
        <c:crosses val="autoZero"/>
        <c:crossBetween val="between"/>
      </c:valAx>
      <c:spPr>
        <a:noFill/>
        <a:ln>
          <a:noFill/>
        </a:ln>
        <a:effectLst/>
      </c:spPr>
    </c:plotArea>
    <c:legend>
      <c:legendPos val="r"/>
      <c:layout>
        <c:manualLayout>
          <c:xMode val="edge"/>
          <c:yMode val="edge"/>
          <c:x val="0.69028991620463775"/>
          <c:y val="0.46768614668218861"/>
          <c:w val="4.7841799702758522E-2"/>
          <c:h val="0.159675157159487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[Copy of Bike Sales Dashboard.xlsx]Analysis!PivotTable31</c:name>
    <c:fmtId val="9"/>
  </c:pivotSource>
  <c:chart>
    <c:title>
      <c:tx>
        <c:rich>
          <a:bodyPr rot="0" spcFirstLastPara="1" vertOverflow="ellipsis" vert="horz" wrap="square" anchor="ctr" anchorCtr="1"/>
          <a:lstStyle/>
          <a:p>
            <a:pPr>
              <a:defRPr sz="2000" b="0" i="0" u="none" strike="noStrike" kern="1200" spc="0" baseline="0">
                <a:solidFill>
                  <a:srgbClr val="002060"/>
                </a:solidFill>
                <a:latin typeface="+mn-lt"/>
                <a:ea typeface="+mn-ea"/>
                <a:cs typeface="+mn-cs"/>
              </a:defRPr>
            </a:pPr>
            <a:r>
              <a:rPr lang="en-GB" sz="2000">
                <a:solidFill>
                  <a:srgbClr val="002060"/>
                </a:solidFill>
              </a:rPr>
              <a:t>Bike Purchases by Age Group</a:t>
            </a:r>
          </a:p>
        </c:rich>
      </c:tx>
      <c:overlay val="0"/>
      <c:spPr>
        <a:noFill/>
        <a:ln>
          <a:noFill/>
        </a:ln>
        <a:effectLst/>
      </c:spPr>
      <c:txPr>
        <a:bodyPr rot="0" spcFirstLastPara="1" vertOverflow="ellipsis" vert="horz" wrap="square" anchor="ctr" anchorCtr="1"/>
        <a:lstStyle/>
        <a:p>
          <a:pPr>
            <a:defRPr sz="2000" b="0" i="0" u="none" strike="noStrike" kern="1200" spc="0" baseline="0">
              <a:solidFill>
                <a:srgbClr val="002060"/>
              </a:solidFill>
              <a:latin typeface="+mn-lt"/>
              <a:ea typeface="+mn-ea"/>
              <a:cs typeface="+mn-cs"/>
            </a:defRPr>
          </a:pPr>
          <a:endParaRPr lang="en-GB"/>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Analysis!$P$3:$P$4</c:f>
              <c:strCache>
                <c:ptCount val="1"/>
                <c:pt idx="0">
                  <c:v>No</c:v>
                </c:pt>
              </c:strCache>
            </c:strRef>
          </c:tx>
          <c:spPr>
            <a:ln w="28575" cap="rnd">
              <a:solidFill>
                <a:schemeClr val="accent5">
                  <a:shade val="76000"/>
                </a:schemeClr>
              </a:solidFill>
              <a:round/>
            </a:ln>
            <a:effectLst/>
          </c:spPr>
          <c:marker>
            <c:symbol val="none"/>
          </c:marker>
          <c:cat>
            <c:strRef>
              <c:f>Analysis!$O$5:$O$8</c:f>
              <c:strCache>
                <c:ptCount val="3"/>
                <c:pt idx="0">
                  <c:v>Adolescent</c:v>
                </c:pt>
                <c:pt idx="1">
                  <c:v>Middle Age</c:v>
                </c:pt>
                <c:pt idx="2">
                  <c:v>Old</c:v>
                </c:pt>
              </c:strCache>
            </c:strRef>
          </c:cat>
          <c:val>
            <c:numRef>
              <c:f>Analysis!$P$5:$P$8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AF2-4AF3-97F1-E4189A4E8FB5}"/>
            </c:ext>
          </c:extLst>
        </c:ser>
        <c:ser>
          <c:idx val="1"/>
          <c:order val="1"/>
          <c:tx>
            <c:strRef>
              <c:f>Analysis!$Q$3:$Q$4</c:f>
              <c:strCache>
                <c:ptCount val="1"/>
                <c:pt idx="0">
                  <c:v>Yes</c:v>
                </c:pt>
              </c:strCache>
            </c:strRef>
          </c:tx>
          <c:spPr>
            <a:ln w="28575" cap="rnd">
              <a:solidFill>
                <a:schemeClr val="accent5">
                  <a:tint val="77000"/>
                </a:schemeClr>
              </a:solidFill>
              <a:round/>
            </a:ln>
            <a:effectLst/>
          </c:spPr>
          <c:marker>
            <c:symbol val="none"/>
          </c:marker>
          <c:cat>
            <c:strRef>
              <c:f>Analysis!$O$5:$O$8</c:f>
              <c:strCache>
                <c:ptCount val="3"/>
                <c:pt idx="0">
                  <c:v>Adolescent</c:v>
                </c:pt>
                <c:pt idx="1">
                  <c:v>Middle Age</c:v>
                </c:pt>
                <c:pt idx="2">
                  <c:v>Old</c:v>
                </c:pt>
              </c:strCache>
            </c:strRef>
          </c:cat>
          <c:val>
            <c:numRef>
              <c:f>Analysis!$Q$5:$Q$8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AF2-4AF3-97F1-E4189A4E8FB5}"/>
            </c:ext>
          </c:extLst>
        </c:ser>
        <c:dLbls>
          <c:showLegendKey val="0"/>
          <c:showVal val="0"/>
          <c:showCatName val="0"/>
          <c:showSerName val="0"/>
          <c:showPercent val="0"/>
          <c:showBubbleSize val="0"/>
        </c:dLbls>
        <c:smooth val="0"/>
        <c:axId val="1895322527"/>
        <c:axId val="1895323967"/>
      </c:lineChart>
      <c:catAx>
        <c:axId val="1895322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Group</a:t>
                </a:r>
                <a:endParaRPr lang="en-GB"/>
              </a:p>
            </c:rich>
          </c:tx>
          <c:layout>
            <c:manualLayout>
              <c:xMode val="edge"/>
              <c:yMode val="edge"/>
              <c:x val="0.40997029070094609"/>
              <c:y val="0.94621597317502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323967"/>
        <c:crosses val="autoZero"/>
        <c:auto val="1"/>
        <c:lblAlgn val="ctr"/>
        <c:lblOffset val="100"/>
        <c:noMultiLvlLbl val="0"/>
      </c:catAx>
      <c:valAx>
        <c:axId val="18953239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Bike</a:t>
                </a:r>
                <a:r>
                  <a:rPr lang="en-GB" baseline="0"/>
                  <a:t> Purchased</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322527"/>
        <c:crosses val="autoZero"/>
        <c:crossBetween val="between"/>
      </c:valAx>
      <c:spPr>
        <a:noFill/>
        <a:ln>
          <a:noFill/>
        </a:ln>
        <a:effectLst/>
      </c:spPr>
    </c:plotArea>
    <c:legend>
      <c:legendPos val="r"/>
      <c:layout>
        <c:manualLayout>
          <c:xMode val="edge"/>
          <c:yMode val="edge"/>
          <c:x val="0.20528064956228903"/>
          <c:y val="0.30435120203595634"/>
          <c:w val="0.12936308106623307"/>
          <c:h val="9.32257819655348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168275</xdr:colOff>
      <xdr:row>8</xdr:row>
      <xdr:rowOff>165099</xdr:rowOff>
    </xdr:from>
    <xdr:to>
      <xdr:col>3</xdr:col>
      <xdr:colOff>552450</xdr:colOff>
      <xdr:row>21</xdr:row>
      <xdr:rowOff>98424</xdr:rowOff>
    </xdr:to>
    <xdr:graphicFrame macro="">
      <xdr:nvGraphicFramePr>
        <xdr:cNvPr id="2" name="Chart 1">
          <a:extLst>
            <a:ext uri="{FF2B5EF4-FFF2-40B4-BE49-F238E27FC236}">
              <a16:creationId xmlns:a16="http://schemas.microsoft.com/office/drawing/2014/main" id="{7C06EC30-0BDA-EF2C-273F-B3797B1D5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527050</xdr:colOff>
      <xdr:row>10</xdr:row>
      <xdr:rowOff>165099</xdr:rowOff>
    </xdr:from>
    <xdr:to>
      <xdr:col>11</xdr:col>
      <xdr:colOff>107950</xdr:colOff>
      <xdr:row>25</xdr:row>
      <xdr:rowOff>69850</xdr:rowOff>
    </xdr:to>
    <xdr:graphicFrame macro="">
      <xdr:nvGraphicFramePr>
        <xdr:cNvPr id="3" name="Chart 2">
          <a:extLst>
            <a:ext uri="{FF2B5EF4-FFF2-40B4-BE49-F238E27FC236}">
              <a16:creationId xmlns:a16="http://schemas.microsoft.com/office/drawing/2014/main" id="{EFDC006C-B565-782C-F696-4F56079C1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431800</xdr:colOff>
      <xdr:row>9</xdr:row>
      <xdr:rowOff>22225</xdr:rowOff>
    </xdr:from>
    <xdr:to>
      <xdr:col>19</xdr:col>
      <xdr:colOff>196850</xdr:colOff>
      <xdr:row>24</xdr:row>
      <xdr:rowOff>3175</xdr:rowOff>
    </xdr:to>
    <xdr:graphicFrame macro="">
      <xdr:nvGraphicFramePr>
        <xdr:cNvPr id="4" name="Chart 3">
          <a:extLst>
            <a:ext uri="{FF2B5EF4-FFF2-40B4-BE49-F238E27FC236}">
              <a16:creationId xmlns:a16="http://schemas.microsoft.com/office/drawing/2014/main" id="{E2871E84-9C09-0A1C-C232-C2F1A9FFC2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84962</xdr:colOff>
      <xdr:row>30</xdr:row>
      <xdr:rowOff>80867</xdr:rowOff>
    </xdr:from>
    <xdr:to>
      <xdr:col>3</xdr:col>
      <xdr:colOff>45357</xdr:colOff>
      <xdr:row>57</xdr:row>
      <xdr:rowOff>113392</xdr:rowOff>
    </xdr:to>
    <xdr:sp macro="" textlink="">
      <xdr:nvSpPr>
        <xdr:cNvPr id="60" name="Rectangle: Rounded Corners 59">
          <a:extLst>
            <a:ext uri="{FF2B5EF4-FFF2-40B4-BE49-F238E27FC236}">
              <a16:creationId xmlns:a16="http://schemas.microsoft.com/office/drawing/2014/main" id="{1694D4A1-4072-4FFA-8366-F68D3555BBB1}"/>
            </a:ext>
          </a:extLst>
        </xdr:cNvPr>
        <xdr:cNvSpPr/>
      </xdr:nvSpPr>
      <xdr:spPr>
        <a:xfrm>
          <a:off x="84962" y="5523724"/>
          <a:ext cx="1797359" cy="4931097"/>
        </a:xfrm>
        <a:prstGeom prst="roundRect">
          <a:avLst>
            <a:gd name="adj" fmla="val 3536"/>
          </a:avLst>
        </a:prstGeom>
        <a:solidFill>
          <a:schemeClr val="accent1">
            <a:lumMod val="20000"/>
            <a:lumOff val="80000"/>
          </a:schemeClr>
        </a:solid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3</xdr:col>
      <xdr:colOff>168616</xdr:colOff>
      <xdr:row>13</xdr:row>
      <xdr:rowOff>139916</xdr:rowOff>
    </xdr:from>
    <xdr:to>
      <xdr:col>12</xdr:col>
      <xdr:colOff>107627</xdr:colOff>
      <xdr:row>18</xdr:row>
      <xdr:rowOff>0</xdr:rowOff>
    </xdr:to>
    <xdr:sp macro="" textlink="">
      <xdr:nvSpPr>
        <xdr:cNvPr id="33" name="Rectangle: Rounded Corners 32">
          <a:extLst>
            <a:ext uri="{FF2B5EF4-FFF2-40B4-BE49-F238E27FC236}">
              <a16:creationId xmlns:a16="http://schemas.microsoft.com/office/drawing/2014/main" id="{9605221D-749E-129A-7F52-E2C9FF3798C4}"/>
            </a:ext>
          </a:extLst>
        </xdr:cNvPr>
        <xdr:cNvSpPr/>
      </xdr:nvSpPr>
      <xdr:spPr>
        <a:xfrm>
          <a:off x="2009040" y="2518475"/>
          <a:ext cx="5460282" cy="774915"/>
        </a:xfrm>
        <a:prstGeom prst="roundRect">
          <a:avLst>
            <a:gd name="adj" fmla="val 3536"/>
          </a:avLst>
        </a:prstGeom>
        <a:solidFill>
          <a:schemeClr val="accent1">
            <a:lumMod val="20000"/>
            <a:lumOff val="80000"/>
          </a:schemeClr>
        </a:solid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286526</xdr:colOff>
      <xdr:row>19</xdr:row>
      <xdr:rowOff>129154</xdr:rowOff>
    </xdr:from>
    <xdr:to>
      <xdr:col>11</xdr:col>
      <xdr:colOff>581186</xdr:colOff>
      <xdr:row>41</xdr:row>
      <xdr:rowOff>43052</xdr:rowOff>
    </xdr:to>
    <xdr:graphicFrame macro="">
      <xdr:nvGraphicFramePr>
        <xdr:cNvPr id="2" name="Chart 1">
          <a:extLst>
            <a:ext uri="{FF2B5EF4-FFF2-40B4-BE49-F238E27FC236}">
              <a16:creationId xmlns:a16="http://schemas.microsoft.com/office/drawing/2014/main" id="{66CCCC4F-2D64-4B7C-8ACD-85D79CAE9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158906</xdr:colOff>
      <xdr:row>41</xdr:row>
      <xdr:rowOff>103923</xdr:rowOff>
    </xdr:from>
    <xdr:to>
      <xdr:col>21</xdr:col>
      <xdr:colOff>178246</xdr:colOff>
      <xdr:row>56</xdr:row>
      <xdr:rowOff>43806</xdr:rowOff>
    </xdr:to>
    <xdr:graphicFrame macro="">
      <xdr:nvGraphicFramePr>
        <xdr:cNvPr id="3" name="Chart 2">
          <a:extLst>
            <a:ext uri="{FF2B5EF4-FFF2-40B4-BE49-F238E27FC236}">
              <a16:creationId xmlns:a16="http://schemas.microsoft.com/office/drawing/2014/main" id="{366741D9-AE60-4DAF-BD2E-B5BB3A0B3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267871</xdr:colOff>
      <xdr:row>14</xdr:row>
      <xdr:rowOff>136908</xdr:rowOff>
    </xdr:from>
    <xdr:to>
      <xdr:col>19</xdr:col>
      <xdr:colOff>139915</xdr:colOff>
      <xdr:row>39</xdr:row>
      <xdr:rowOff>136072</xdr:rowOff>
    </xdr:to>
    <xdr:graphicFrame macro="">
      <xdr:nvGraphicFramePr>
        <xdr:cNvPr id="4" name="Chart 3">
          <a:extLst>
            <a:ext uri="{FF2B5EF4-FFF2-40B4-BE49-F238E27FC236}">
              <a16:creationId xmlns:a16="http://schemas.microsoft.com/office/drawing/2014/main" id="{56F5AB1A-1D43-4C23-ADDA-A12EDA78F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96863</xdr:colOff>
      <xdr:row>14</xdr:row>
      <xdr:rowOff>2800</xdr:rowOff>
    </xdr:from>
    <xdr:to>
      <xdr:col>3</xdr:col>
      <xdr:colOff>75697</xdr:colOff>
      <xdr:row>19</xdr:row>
      <xdr:rowOff>46172</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2848A1D-67C0-A7B4-A00C-3ACD468C2A9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6863" y="2542800"/>
              <a:ext cx="1829405" cy="9505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96863</xdr:colOff>
      <xdr:row>19</xdr:row>
      <xdr:rowOff>165806</xdr:rowOff>
    </xdr:from>
    <xdr:to>
      <xdr:col>3</xdr:col>
      <xdr:colOff>54888</xdr:colOff>
      <xdr:row>30</xdr:row>
      <xdr:rowOff>14111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63A7B029-89C2-6C51-DE62-ABEE0E9EAE1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6863" y="3612949"/>
              <a:ext cx="1808596" cy="18440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96863</xdr:colOff>
      <xdr:row>6</xdr:row>
      <xdr:rowOff>115519</xdr:rowOff>
    </xdr:from>
    <xdr:to>
      <xdr:col>3</xdr:col>
      <xdr:colOff>61943</xdr:colOff>
      <xdr:row>13</xdr:row>
      <xdr:rowOff>66131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C1EA69D-0D62-5245-D987-066C6DC691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863" y="1204090"/>
              <a:ext cx="1815651" cy="12206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96865</xdr:colOff>
      <xdr:row>30</xdr:row>
      <xdr:rowOff>96864</xdr:rowOff>
    </xdr:from>
    <xdr:to>
      <xdr:col>3</xdr:col>
      <xdr:colOff>0</xdr:colOff>
      <xdr:row>57</xdr:row>
      <xdr:rowOff>90713</xdr:rowOff>
    </xdr:to>
    <xdr:sp macro="" textlink="">
      <xdr:nvSpPr>
        <xdr:cNvPr id="10" name="TextBox 9">
          <a:extLst>
            <a:ext uri="{FF2B5EF4-FFF2-40B4-BE49-F238E27FC236}">
              <a16:creationId xmlns:a16="http://schemas.microsoft.com/office/drawing/2014/main" id="{0B8B7ED0-F488-5DB6-B7D7-D1126853EEB9}"/>
            </a:ext>
          </a:extLst>
        </xdr:cNvPr>
        <xdr:cNvSpPr txBox="1"/>
      </xdr:nvSpPr>
      <xdr:spPr>
        <a:xfrm>
          <a:off x="96865" y="5539721"/>
          <a:ext cx="1740099" cy="4892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t>📊 Dashboard Summary</a:t>
          </a:r>
        </a:p>
        <a:p>
          <a:endParaRPr lang="en-GB" sz="1600" b="1"/>
        </a:p>
        <a:p>
          <a:r>
            <a:rPr lang="en-GB" sz="1600" b="0"/>
            <a:t>• Middle-aged adults show the highest bike purchase rates.</a:t>
          </a:r>
        </a:p>
        <a:p>
          <a:r>
            <a:rPr lang="en-GB" sz="1600" b="0"/>
            <a:t>• Buyers earn more across all demographics.</a:t>
          </a:r>
        </a:p>
        <a:p>
          <a:r>
            <a:rPr lang="en-GB" sz="1600" b="0"/>
            <a:t>• Short commutes (under 5 miles) link to higher bike demand.</a:t>
          </a:r>
        </a:p>
        <a:p>
          <a:r>
            <a:rPr lang="en-GB" sz="1600" b="0"/>
            <a:t>• North America leads with the most buyers.</a:t>
          </a:r>
        </a:p>
      </xdr:txBody>
    </xdr:sp>
    <xdr:clientData/>
  </xdr:twoCellAnchor>
  <xdr:twoCellAnchor>
    <xdr:from>
      <xdr:col>3</xdr:col>
      <xdr:colOff>168616</xdr:colOff>
      <xdr:row>6</xdr:row>
      <xdr:rowOff>118389</xdr:rowOff>
    </xdr:from>
    <xdr:to>
      <xdr:col>7</xdr:col>
      <xdr:colOff>319294</xdr:colOff>
      <xdr:row>12</xdr:row>
      <xdr:rowOff>96864</xdr:rowOff>
    </xdr:to>
    <xdr:grpSp>
      <xdr:nvGrpSpPr>
        <xdr:cNvPr id="42" name="Group 41">
          <a:extLst>
            <a:ext uri="{FF2B5EF4-FFF2-40B4-BE49-F238E27FC236}">
              <a16:creationId xmlns:a16="http://schemas.microsoft.com/office/drawing/2014/main" id="{9314F1A4-463F-D809-03B7-92329F5F3EFE}"/>
            </a:ext>
          </a:extLst>
        </xdr:cNvPr>
        <xdr:cNvGrpSpPr/>
      </xdr:nvGrpSpPr>
      <xdr:grpSpPr>
        <a:xfrm>
          <a:off x="2019187" y="1206960"/>
          <a:ext cx="2618107" cy="1067047"/>
          <a:chOff x="2009040" y="1216186"/>
          <a:chExt cx="2604576" cy="1076271"/>
        </a:xfrm>
      </xdr:grpSpPr>
      <xdr:sp macro="" textlink="">
        <xdr:nvSpPr>
          <xdr:cNvPr id="14" name="Rectangle: Rounded Corners 13">
            <a:extLst>
              <a:ext uri="{FF2B5EF4-FFF2-40B4-BE49-F238E27FC236}">
                <a16:creationId xmlns:a16="http://schemas.microsoft.com/office/drawing/2014/main" id="{E4947C98-432C-AFAC-E297-982C5C978348}"/>
              </a:ext>
            </a:extLst>
          </xdr:cNvPr>
          <xdr:cNvSpPr/>
        </xdr:nvSpPr>
        <xdr:spPr>
          <a:xfrm>
            <a:off x="2009040" y="1216186"/>
            <a:ext cx="2604576" cy="1065508"/>
          </a:xfrm>
          <a:prstGeom prst="roundRect">
            <a:avLst>
              <a:gd name="adj" fmla="val 3536"/>
            </a:avLst>
          </a:prstGeom>
          <a:no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7" name="TextBox 16">
            <a:extLst>
              <a:ext uri="{FF2B5EF4-FFF2-40B4-BE49-F238E27FC236}">
                <a16:creationId xmlns:a16="http://schemas.microsoft.com/office/drawing/2014/main" id="{A5E7E7CB-BFA8-8B49-3DB4-33BC24722A01}"/>
              </a:ext>
            </a:extLst>
          </xdr:cNvPr>
          <xdr:cNvSpPr txBox="1"/>
        </xdr:nvSpPr>
        <xdr:spPr>
          <a:xfrm>
            <a:off x="2270930" y="1732796"/>
            <a:ext cx="2152543" cy="55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t>Customers</a:t>
            </a:r>
          </a:p>
        </xdr:txBody>
      </xdr:sp>
      <xdr:sp macro="" textlink="Analysis!Y5">
        <xdr:nvSpPr>
          <xdr:cNvPr id="21" name="TextBox 20">
            <a:extLst>
              <a:ext uri="{FF2B5EF4-FFF2-40B4-BE49-F238E27FC236}">
                <a16:creationId xmlns:a16="http://schemas.microsoft.com/office/drawing/2014/main" id="{48FB32D0-461F-52EA-A54A-4986CC2680A6}"/>
              </a:ext>
            </a:extLst>
          </xdr:cNvPr>
          <xdr:cNvSpPr txBox="1"/>
        </xdr:nvSpPr>
        <xdr:spPr>
          <a:xfrm>
            <a:off x="2690678" y="1366867"/>
            <a:ext cx="1259237" cy="548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BAB970-F3C6-4665-B0AA-8AF2D9768E24}" type="TxLink">
              <a:rPr lang="en-US" sz="2400" b="0" i="0" u="none" strike="noStrike">
                <a:solidFill>
                  <a:srgbClr val="0070C0"/>
                </a:solidFill>
                <a:latin typeface="Calibri"/>
                <a:ea typeface="Calibri"/>
                <a:cs typeface="Calibri"/>
              </a:rPr>
              <a:pPr algn="ctr"/>
              <a:t> 1,000 </a:t>
            </a:fld>
            <a:endParaRPr lang="en-GB" sz="2400">
              <a:solidFill>
                <a:srgbClr val="0070C0"/>
              </a:solidFill>
            </a:endParaRPr>
          </a:p>
        </xdr:txBody>
      </xdr:sp>
    </xdr:grpSp>
    <xdr:clientData/>
  </xdr:twoCellAnchor>
  <xdr:twoCellAnchor>
    <xdr:from>
      <xdr:col>3</xdr:col>
      <xdr:colOff>258303</xdr:colOff>
      <xdr:row>14</xdr:row>
      <xdr:rowOff>86102</xdr:rowOff>
    </xdr:from>
    <xdr:to>
      <xdr:col>11</xdr:col>
      <xdr:colOff>581186</xdr:colOff>
      <xdr:row>18</xdr:row>
      <xdr:rowOff>-1</xdr:rowOff>
    </xdr:to>
    <xdr:sp macro="" textlink="">
      <xdr:nvSpPr>
        <xdr:cNvPr id="25" name="TextBox 24">
          <a:extLst>
            <a:ext uri="{FF2B5EF4-FFF2-40B4-BE49-F238E27FC236}">
              <a16:creationId xmlns:a16="http://schemas.microsoft.com/office/drawing/2014/main" id="{D873D03B-743E-B13B-6F7A-C8866CE338F9}"/>
            </a:ext>
          </a:extLst>
        </xdr:cNvPr>
        <xdr:cNvSpPr txBox="1"/>
      </xdr:nvSpPr>
      <xdr:spPr>
        <a:xfrm>
          <a:off x="2098727" y="2647627"/>
          <a:ext cx="5230679" cy="64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1">
              <a:solidFill>
                <a:sysClr val="windowText" lastClr="000000"/>
              </a:solidFill>
            </a:rPr>
            <a:t>Key Insight</a:t>
          </a:r>
          <a:r>
            <a:rPr lang="en-GB" sz="1100" b="1" i="1" baseline="0">
              <a:solidFill>
                <a:sysClr val="windowText" lastClr="000000"/>
              </a:solidFill>
            </a:rPr>
            <a:t>: </a:t>
          </a:r>
          <a:r>
            <a:rPr lang="en-GB" sz="1100"/>
            <a:t>Buyers consistently earn more across genders,</a:t>
          </a:r>
          <a:r>
            <a:rPr lang="en-GB" sz="1100" baseline="0"/>
            <a:t> </a:t>
          </a:r>
          <a:r>
            <a:rPr lang="en-GB" sz="1100"/>
            <a:t>showing a clear relationship between income</a:t>
          </a:r>
          <a:r>
            <a:rPr lang="en-GB" sz="1100" baseline="0"/>
            <a:t> </a:t>
          </a:r>
          <a:r>
            <a:rPr lang="en-GB" sz="1100"/>
            <a:t>and bike purchasing behaviour.</a:t>
          </a:r>
        </a:p>
      </xdr:txBody>
    </xdr:sp>
    <xdr:clientData/>
  </xdr:twoCellAnchor>
  <xdr:twoCellAnchor>
    <xdr:from>
      <xdr:col>7</xdr:col>
      <xdr:colOff>495085</xdr:colOff>
      <xdr:row>6</xdr:row>
      <xdr:rowOff>118389</xdr:rowOff>
    </xdr:from>
    <xdr:to>
      <xdr:col>12</xdr:col>
      <xdr:colOff>32288</xdr:colOff>
      <xdr:row>12</xdr:row>
      <xdr:rowOff>139913</xdr:rowOff>
    </xdr:to>
    <xdr:grpSp>
      <xdr:nvGrpSpPr>
        <xdr:cNvPr id="41" name="Group 40">
          <a:extLst>
            <a:ext uri="{FF2B5EF4-FFF2-40B4-BE49-F238E27FC236}">
              <a16:creationId xmlns:a16="http://schemas.microsoft.com/office/drawing/2014/main" id="{0A2755AE-11C7-E2DF-A914-42F29A471594}"/>
            </a:ext>
          </a:extLst>
        </xdr:cNvPr>
        <xdr:cNvGrpSpPr/>
      </xdr:nvGrpSpPr>
      <xdr:grpSpPr>
        <a:xfrm>
          <a:off x="4813085" y="1206960"/>
          <a:ext cx="2621489" cy="1110096"/>
          <a:chOff x="4796582" y="1226949"/>
          <a:chExt cx="2604576" cy="1119320"/>
        </a:xfrm>
      </xdr:grpSpPr>
      <xdr:sp macro="" textlink="">
        <xdr:nvSpPr>
          <xdr:cNvPr id="18" name="TextBox 17">
            <a:extLst>
              <a:ext uri="{FF2B5EF4-FFF2-40B4-BE49-F238E27FC236}">
                <a16:creationId xmlns:a16="http://schemas.microsoft.com/office/drawing/2014/main" id="{B8AA23F2-FECC-B1BC-BD51-CE783BDE3132}"/>
              </a:ext>
            </a:extLst>
          </xdr:cNvPr>
          <xdr:cNvSpPr txBox="1"/>
        </xdr:nvSpPr>
        <xdr:spPr>
          <a:xfrm>
            <a:off x="5079999" y="1786608"/>
            <a:ext cx="2152543" cy="55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t>Purchased</a:t>
            </a:r>
            <a:r>
              <a:rPr lang="en-GB" sz="1800" baseline="0"/>
              <a:t>  Bike</a:t>
            </a:r>
            <a:endParaRPr lang="en-GB" sz="1800"/>
          </a:p>
        </xdr:txBody>
      </xdr:sp>
      <xdr:sp macro="" textlink="Analysis!W18">
        <xdr:nvSpPr>
          <xdr:cNvPr id="22" name="TextBox 21">
            <a:extLst>
              <a:ext uri="{FF2B5EF4-FFF2-40B4-BE49-F238E27FC236}">
                <a16:creationId xmlns:a16="http://schemas.microsoft.com/office/drawing/2014/main" id="{E780B357-ADBC-0460-989F-ACD526947AC9}"/>
              </a:ext>
            </a:extLst>
          </xdr:cNvPr>
          <xdr:cNvSpPr txBox="1"/>
        </xdr:nvSpPr>
        <xdr:spPr>
          <a:xfrm>
            <a:off x="5015423" y="1334575"/>
            <a:ext cx="2152543" cy="55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44FCD6-4D4E-4104-B93C-C70C402AF8C5}" type="TxLink">
              <a:rPr lang="en-US" sz="2400" b="0" i="0" u="none" strike="noStrike">
                <a:solidFill>
                  <a:srgbClr val="0070C0"/>
                </a:solidFill>
                <a:latin typeface="Calibri"/>
                <a:ea typeface="Calibri"/>
                <a:cs typeface="Calibri"/>
              </a:rPr>
              <a:pPr algn="ctr"/>
              <a:t>48%</a:t>
            </a:fld>
            <a:endParaRPr lang="en-GB" sz="3600">
              <a:solidFill>
                <a:srgbClr val="0070C0"/>
              </a:solidFill>
            </a:endParaRPr>
          </a:p>
        </xdr:txBody>
      </xdr:sp>
      <xdr:sp macro="" textlink="">
        <xdr:nvSpPr>
          <xdr:cNvPr id="30" name="Rectangle: Rounded Corners 29">
            <a:extLst>
              <a:ext uri="{FF2B5EF4-FFF2-40B4-BE49-F238E27FC236}">
                <a16:creationId xmlns:a16="http://schemas.microsoft.com/office/drawing/2014/main" id="{535B0EEE-C43C-94A6-8F58-5333A1026F28}"/>
              </a:ext>
            </a:extLst>
          </xdr:cNvPr>
          <xdr:cNvSpPr/>
        </xdr:nvSpPr>
        <xdr:spPr>
          <a:xfrm>
            <a:off x="4796582" y="1226949"/>
            <a:ext cx="2604576" cy="1065508"/>
          </a:xfrm>
          <a:prstGeom prst="roundRect">
            <a:avLst>
              <a:gd name="adj" fmla="val 3536"/>
            </a:avLst>
          </a:prstGeom>
          <a:no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12</xdr:col>
      <xdr:colOff>208079</xdr:colOff>
      <xdr:row>6</xdr:row>
      <xdr:rowOff>118389</xdr:rowOff>
    </xdr:from>
    <xdr:to>
      <xdr:col>17</xdr:col>
      <xdr:colOff>57400</xdr:colOff>
      <xdr:row>14</xdr:row>
      <xdr:rowOff>32287</xdr:rowOff>
    </xdr:to>
    <xdr:grpSp>
      <xdr:nvGrpSpPr>
        <xdr:cNvPr id="40" name="Group 39">
          <a:extLst>
            <a:ext uri="{FF2B5EF4-FFF2-40B4-BE49-F238E27FC236}">
              <a16:creationId xmlns:a16="http://schemas.microsoft.com/office/drawing/2014/main" id="{DD6AEE01-E981-AB46-1815-6FC58D039532}"/>
            </a:ext>
          </a:extLst>
        </xdr:cNvPr>
        <xdr:cNvGrpSpPr/>
      </xdr:nvGrpSpPr>
      <xdr:grpSpPr>
        <a:xfrm>
          <a:off x="7610365" y="1206960"/>
          <a:ext cx="2933606" cy="1365327"/>
          <a:chOff x="7609238" y="1259238"/>
          <a:chExt cx="2916694" cy="1377626"/>
        </a:xfrm>
      </xdr:grpSpPr>
      <xdr:sp macro="" textlink="">
        <xdr:nvSpPr>
          <xdr:cNvPr id="19" name="TextBox 18">
            <a:extLst>
              <a:ext uri="{FF2B5EF4-FFF2-40B4-BE49-F238E27FC236}">
                <a16:creationId xmlns:a16="http://schemas.microsoft.com/office/drawing/2014/main" id="{3748D9A9-E4E7-28B1-AD95-0C60F606CD4E}"/>
              </a:ext>
            </a:extLst>
          </xdr:cNvPr>
          <xdr:cNvSpPr txBox="1"/>
        </xdr:nvSpPr>
        <xdr:spPr>
          <a:xfrm>
            <a:off x="7609238" y="1840420"/>
            <a:ext cx="2916694" cy="796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t>Avg Income</a:t>
            </a:r>
            <a:r>
              <a:rPr lang="en-GB" sz="1800" baseline="0"/>
              <a:t> of Buyers</a:t>
            </a:r>
            <a:endParaRPr lang="en-GB" sz="1800"/>
          </a:p>
        </xdr:txBody>
      </xdr:sp>
      <xdr:sp macro="" textlink="Analysis!Y27">
        <xdr:nvSpPr>
          <xdr:cNvPr id="23" name="TextBox 22">
            <a:extLst>
              <a:ext uri="{FF2B5EF4-FFF2-40B4-BE49-F238E27FC236}">
                <a16:creationId xmlns:a16="http://schemas.microsoft.com/office/drawing/2014/main" id="{35AF1CD8-04D9-FF51-B6CE-501DF366BE81}"/>
              </a:ext>
            </a:extLst>
          </xdr:cNvPr>
          <xdr:cNvSpPr txBox="1"/>
        </xdr:nvSpPr>
        <xdr:spPr>
          <a:xfrm>
            <a:off x="7921356" y="1377627"/>
            <a:ext cx="2152543" cy="55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A1DC77-FA94-4E9C-BE79-5164E3F65BAA}" type="TxLink">
              <a:rPr lang="en-US" sz="2400" b="0" i="0" u="none" strike="noStrike">
                <a:solidFill>
                  <a:srgbClr val="0070C0"/>
                </a:solidFill>
                <a:latin typeface="Calibri"/>
                <a:ea typeface="Calibri"/>
                <a:cs typeface="Calibri"/>
              </a:rPr>
              <a:pPr algn="ctr"/>
              <a:t> £56,360 </a:t>
            </a:fld>
            <a:endParaRPr lang="en-GB" sz="2400">
              <a:solidFill>
                <a:srgbClr val="0070C0"/>
              </a:solidFill>
            </a:endParaRPr>
          </a:p>
        </xdr:txBody>
      </xdr:sp>
      <xdr:sp macro="" textlink="">
        <xdr:nvSpPr>
          <xdr:cNvPr id="31" name="Rectangle: Rounded Corners 30">
            <a:extLst>
              <a:ext uri="{FF2B5EF4-FFF2-40B4-BE49-F238E27FC236}">
                <a16:creationId xmlns:a16="http://schemas.microsoft.com/office/drawing/2014/main" id="{D73A5517-D6CA-1BEC-3BD9-7CF82A184737}"/>
              </a:ext>
            </a:extLst>
          </xdr:cNvPr>
          <xdr:cNvSpPr/>
        </xdr:nvSpPr>
        <xdr:spPr>
          <a:xfrm>
            <a:off x="7659462" y="1259238"/>
            <a:ext cx="2604576" cy="1065508"/>
          </a:xfrm>
          <a:prstGeom prst="roundRect">
            <a:avLst>
              <a:gd name="adj" fmla="val 3536"/>
            </a:avLst>
          </a:prstGeom>
          <a:no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17</xdr:col>
      <xdr:colOff>17938</xdr:colOff>
      <xdr:row>6</xdr:row>
      <xdr:rowOff>107626</xdr:rowOff>
    </xdr:from>
    <xdr:to>
      <xdr:col>21</xdr:col>
      <xdr:colOff>168616</xdr:colOff>
      <xdr:row>12</xdr:row>
      <xdr:rowOff>129150</xdr:rowOff>
    </xdr:to>
    <xdr:grpSp>
      <xdr:nvGrpSpPr>
        <xdr:cNvPr id="39" name="Group 38">
          <a:extLst>
            <a:ext uri="{FF2B5EF4-FFF2-40B4-BE49-F238E27FC236}">
              <a16:creationId xmlns:a16="http://schemas.microsoft.com/office/drawing/2014/main" id="{ABB40D9C-7271-550C-582D-F85A135E3199}"/>
            </a:ext>
          </a:extLst>
        </xdr:cNvPr>
        <xdr:cNvGrpSpPr/>
      </xdr:nvGrpSpPr>
      <xdr:grpSpPr>
        <a:xfrm>
          <a:off x="10504509" y="1196197"/>
          <a:ext cx="2618107" cy="1110096"/>
          <a:chOff x="10877514" y="1259238"/>
          <a:chExt cx="2604576" cy="1119320"/>
        </a:xfrm>
      </xdr:grpSpPr>
      <xdr:sp macro="" textlink="">
        <xdr:nvSpPr>
          <xdr:cNvPr id="20" name="TextBox 19">
            <a:extLst>
              <a:ext uri="{FF2B5EF4-FFF2-40B4-BE49-F238E27FC236}">
                <a16:creationId xmlns:a16="http://schemas.microsoft.com/office/drawing/2014/main" id="{054F494B-6427-07B4-14FC-C0CC1B63BA02}"/>
              </a:ext>
            </a:extLst>
          </xdr:cNvPr>
          <xdr:cNvSpPr txBox="1"/>
        </xdr:nvSpPr>
        <xdr:spPr>
          <a:xfrm>
            <a:off x="10988728" y="1657453"/>
            <a:ext cx="2421612" cy="721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t>Region</a:t>
            </a:r>
            <a:r>
              <a:rPr lang="en-GB" sz="1800" baseline="0"/>
              <a:t> with the highest bike demand</a:t>
            </a:r>
            <a:endParaRPr lang="en-GB" sz="1800"/>
          </a:p>
        </xdr:txBody>
      </xdr:sp>
      <xdr:sp macro="" textlink="Analysis!Y35">
        <xdr:nvSpPr>
          <xdr:cNvPr id="24" name="TextBox 23">
            <a:extLst>
              <a:ext uri="{FF2B5EF4-FFF2-40B4-BE49-F238E27FC236}">
                <a16:creationId xmlns:a16="http://schemas.microsoft.com/office/drawing/2014/main" id="{E6005055-F7A0-0A56-6D91-5B45DB5822AA}"/>
              </a:ext>
            </a:extLst>
          </xdr:cNvPr>
          <xdr:cNvSpPr txBox="1"/>
        </xdr:nvSpPr>
        <xdr:spPr>
          <a:xfrm>
            <a:off x="11117881" y="1313052"/>
            <a:ext cx="2152543" cy="55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EE638EB-A3D0-4A3B-B65D-F0EB4294BAAA}" type="TxLink">
              <a:rPr lang="en-US" sz="2400" b="0" i="0" u="none" strike="noStrike">
                <a:solidFill>
                  <a:srgbClr val="0070C0"/>
                </a:solidFill>
                <a:latin typeface="Calibri"/>
                <a:ea typeface="Calibri"/>
                <a:cs typeface="Calibri"/>
              </a:rPr>
              <a:pPr algn="ctr"/>
              <a:t>North America</a:t>
            </a:fld>
            <a:endParaRPr lang="en-GB" sz="2400">
              <a:solidFill>
                <a:srgbClr val="0070C0"/>
              </a:solidFill>
            </a:endParaRPr>
          </a:p>
        </xdr:txBody>
      </xdr:sp>
      <xdr:sp macro="" textlink="">
        <xdr:nvSpPr>
          <xdr:cNvPr id="32" name="Rectangle: Rounded Corners 31">
            <a:extLst>
              <a:ext uri="{FF2B5EF4-FFF2-40B4-BE49-F238E27FC236}">
                <a16:creationId xmlns:a16="http://schemas.microsoft.com/office/drawing/2014/main" id="{6520E861-ABA4-1A70-EAF6-96C3B906AB83}"/>
              </a:ext>
            </a:extLst>
          </xdr:cNvPr>
          <xdr:cNvSpPr/>
        </xdr:nvSpPr>
        <xdr:spPr>
          <a:xfrm>
            <a:off x="10877514" y="1259238"/>
            <a:ext cx="2604576" cy="1065508"/>
          </a:xfrm>
          <a:prstGeom prst="roundRect">
            <a:avLst>
              <a:gd name="adj" fmla="val 3536"/>
            </a:avLst>
          </a:prstGeom>
          <a:no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12</xdr:col>
      <xdr:colOff>276999</xdr:colOff>
      <xdr:row>13</xdr:row>
      <xdr:rowOff>139915</xdr:rowOff>
    </xdr:from>
    <xdr:to>
      <xdr:col>21</xdr:col>
      <xdr:colOff>167106</xdr:colOff>
      <xdr:row>40</xdr:row>
      <xdr:rowOff>133683</xdr:rowOff>
    </xdr:to>
    <xdr:sp macro="" textlink="">
      <xdr:nvSpPr>
        <xdr:cNvPr id="34" name="Rectangle: Rounded Corners 33">
          <a:extLst>
            <a:ext uri="{FF2B5EF4-FFF2-40B4-BE49-F238E27FC236}">
              <a16:creationId xmlns:a16="http://schemas.microsoft.com/office/drawing/2014/main" id="{9F66969D-EF85-83A7-5C87-8FC16AF9C37B}"/>
            </a:ext>
          </a:extLst>
        </xdr:cNvPr>
        <xdr:cNvSpPr/>
      </xdr:nvSpPr>
      <xdr:spPr>
        <a:xfrm>
          <a:off x="7629631" y="2601933"/>
          <a:ext cx="5404580" cy="5107189"/>
        </a:xfrm>
        <a:prstGeom prst="roundRect">
          <a:avLst>
            <a:gd name="adj" fmla="val 0"/>
          </a:avLst>
        </a:prstGeom>
        <a:no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579298</xdr:colOff>
      <xdr:row>17</xdr:row>
      <xdr:rowOff>172959</xdr:rowOff>
    </xdr:from>
    <xdr:to>
      <xdr:col>21</xdr:col>
      <xdr:colOff>66842</xdr:colOff>
      <xdr:row>24</xdr:row>
      <xdr:rowOff>11140</xdr:rowOff>
    </xdr:to>
    <xdr:sp macro="" textlink="">
      <xdr:nvSpPr>
        <xdr:cNvPr id="35" name="Rectangle: Rounded Corners 34">
          <a:extLst>
            <a:ext uri="{FF2B5EF4-FFF2-40B4-BE49-F238E27FC236}">
              <a16:creationId xmlns:a16="http://schemas.microsoft.com/office/drawing/2014/main" id="{6C8FC22D-3A19-B389-90BB-DF084EAC9861}"/>
            </a:ext>
          </a:extLst>
        </xdr:cNvPr>
        <xdr:cNvSpPr/>
      </xdr:nvSpPr>
      <xdr:spPr>
        <a:xfrm>
          <a:off x="10382807" y="3392520"/>
          <a:ext cx="2551140" cy="1163883"/>
        </a:xfrm>
        <a:prstGeom prst="roundRect">
          <a:avLst>
            <a:gd name="adj" fmla="val 3536"/>
          </a:avLst>
        </a:prstGeom>
        <a:solidFill>
          <a:schemeClr val="accent1">
            <a:lumMod val="20000"/>
            <a:lumOff val="80000"/>
          </a:schemeClr>
        </a:solid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3</xdr:col>
      <xdr:colOff>168616</xdr:colOff>
      <xdr:row>19</xdr:row>
      <xdr:rowOff>21525</xdr:rowOff>
    </xdr:from>
    <xdr:to>
      <xdr:col>12</xdr:col>
      <xdr:colOff>107627</xdr:colOff>
      <xdr:row>40</xdr:row>
      <xdr:rowOff>129153</xdr:rowOff>
    </xdr:to>
    <xdr:sp macro="" textlink="">
      <xdr:nvSpPr>
        <xdr:cNvPr id="36" name="Rectangle: Rounded Corners 35">
          <a:extLst>
            <a:ext uri="{FF2B5EF4-FFF2-40B4-BE49-F238E27FC236}">
              <a16:creationId xmlns:a16="http://schemas.microsoft.com/office/drawing/2014/main" id="{18C75D62-4E3C-3B3B-2C99-51CBC6A34131}"/>
            </a:ext>
          </a:extLst>
        </xdr:cNvPr>
        <xdr:cNvSpPr/>
      </xdr:nvSpPr>
      <xdr:spPr>
        <a:xfrm>
          <a:off x="2009040" y="3497881"/>
          <a:ext cx="5460282" cy="3949916"/>
        </a:xfrm>
        <a:prstGeom prst="roundRect">
          <a:avLst>
            <a:gd name="adj" fmla="val 0"/>
          </a:avLst>
        </a:prstGeom>
        <a:no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1</xdr:rowOff>
    </xdr:from>
    <xdr:to>
      <xdr:col>21</xdr:col>
      <xdr:colOff>172203</xdr:colOff>
      <xdr:row>6</xdr:row>
      <xdr:rowOff>53814</xdr:rowOff>
    </xdr:to>
    <xdr:sp macro="" textlink="">
      <xdr:nvSpPr>
        <xdr:cNvPr id="55" name="Rectangle: Rounded Corners 54">
          <a:extLst>
            <a:ext uri="{FF2B5EF4-FFF2-40B4-BE49-F238E27FC236}">
              <a16:creationId xmlns:a16="http://schemas.microsoft.com/office/drawing/2014/main" id="{B7DD7478-ACE8-90FD-9D4D-D09BF97672E2}"/>
            </a:ext>
          </a:extLst>
        </xdr:cNvPr>
        <xdr:cNvSpPr/>
      </xdr:nvSpPr>
      <xdr:spPr>
        <a:xfrm>
          <a:off x="0" y="1"/>
          <a:ext cx="13055169" cy="1151610"/>
        </a:xfrm>
        <a:prstGeom prst="roundRect">
          <a:avLst>
            <a:gd name="adj" fmla="val 1623"/>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32288</xdr:colOff>
      <xdr:row>0</xdr:row>
      <xdr:rowOff>96864</xdr:rowOff>
    </xdr:from>
    <xdr:to>
      <xdr:col>15</xdr:col>
      <xdr:colOff>495084</xdr:colOff>
      <xdr:row>5</xdr:row>
      <xdr:rowOff>64576</xdr:rowOff>
    </xdr:to>
    <xdr:sp macro="" textlink="">
      <xdr:nvSpPr>
        <xdr:cNvPr id="56" name="TextBox 55">
          <a:extLst>
            <a:ext uri="{FF2B5EF4-FFF2-40B4-BE49-F238E27FC236}">
              <a16:creationId xmlns:a16="http://schemas.microsoft.com/office/drawing/2014/main" id="{80827604-CB42-3FAF-1BEF-D7B2A0B50F3B}"/>
            </a:ext>
          </a:extLst>
        </xdr:cNvPr>
        <xdr:cNvSpPr txBox="1"/>
      </xdr:nvSpPr>
      <xdr:spPr>
        <a:xfrm>
          <a:off x="1872712" y="96864"/>
          <a:ext cx="7824491" cy="882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400" b="1">
              <a:solidFill>
                <a:schemeClr val="bg1"/>
              </a:solidFill>
            </a:rPr>
            <a:t>Bike</a:t>
          </a:r>
          <a:r>
            <a:rPr lang="en-GB" sz="5400" b="1" baseline="0">
              <a:solidFill>
                <a:schemeClr val="bg1"/>
              </a:solidFill>
            </a:rPr>
            <a:t> Sales Dashboard</a:t>
          </a:r>
          <a:endParaRPr lang="en-GB" sz="5400" b="1">
            <a:solidFill>
              <a:schemeClr val="bg1"/>
            </a:solidFill>
          </a:endParaRPr>
        </a:p>
      </xdr:txBody>
    </xdr:sp>
    <xdr:clientData/>
  </xdr:twoCellAnchor>
  <xdr:twoCellAnchor editAs="oneCell">
    <xdr:from>
      <xdr:col>0</xdr:col>
      <xdr:colOff>333406</xdr:colOff>
      <xdr:row>0</xdr:row>
      <xdr:rowOff>75338</xdr:rowOff>
    </xdr:from>
    <xdr:to>
      <xdr:col>2</xdr:col>
      <xdr:colOff>27554</xdr:colOff>
      <xdr:row>5</xdr:row>
      <xdr:rowOff>72516</xdr:rowOff>
    </xdr:to>
    <xdr:pic>
      <xdr:nvPicPr>
        <xdr:cNvPr id="9" name="Graphic 8" descr="Cycling outline">
          <a:extLst>
            <a:ext uri="{FF2B5EF4-FFF2-40B4-BE49-F238E27FC236}">
              <a16:creationId xmlns:a16="http://schemas.microsoft.com/office/drawing/2014/main" id="{8E61ACA1-DBDC-C711-C4E0-6369F3CFCC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33406" y="75338"/>
          <a:ext cx="921097" cy="912009"/>
        </a:xfrm>
        <a:prstGeom prst="rect">
          <a:avLst/>
        </a:prstGeom>
      </xdr:spPr>
    </xdr:pic>
    <xdr:clientData/>
  </xdr:twoCellAnchor>
  <xdr:twoCellAnchor>
    <xdr:from>
      <xdr:col>17</xdr:col>
      <xdr:colOff>111404</xdr:colOff>
      <xdr:row>18</xdr:row>
      <xdr:rowOff>133684</xdr:rowOff>
    </xdr:from>
    <xdr:to>
      <xdr:col>20</xdr:col>
      <xdr:colOff>545878</xdr:colOff>
      <xdr:row>23</xdr:row>
      <xdr:rowOff>55702</xdr:rowOff>
    </xdr:to>
    <xdr:sp macro="" textlink="">
      <xdr:nvSpPr>
        <xdr:cNvPr id="57" name="TextBox 56">
          <a:extLst>
            <a:ext uri="{FF2B5EF4-FFF2-40B4-BE49-F238E27FC236}">
              <a16:creationId xmlns:a16="http://schemas.microsoft.com/office/drawing/2014/main" id="{51A4337D-A22E-B275-992C-C7E330662F03}"/>
            </a:ext>
          </a:extLst>
        </xdr:cNvPr>
        <xdr:cNvSpPr txBox="1"/>
      </xdr:nvSpPr>
      <xdr:spPr>
        <a:xfrm>
          <a:off x="10527632" y="3542631"/>
          <a:ext cx="2272632" cy="868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1"/>
            <a:t>Key Insight</a:t>
          </a:r>
          <a:r>
            <a:rPr lang="en-GB" sz="1100" b="1"/>
            <a:t>: </a:t>
          </a:r>
          <a:r>
            <a:rPr lang="en-GB" sz="1100"/>
            <a:t>Middle-aged customers show the highest likelihood to purchase a bike, making them the primary target audience.</a:t>
          </a:r>
        </a:p>
        <a:p>
          <a:endParaRPr lang="en-GB" sz="1100"/>
        </a:p>
      </xdr:txBody>
    </xdr:sp>
    <xdr:clientData/>
  </xdr:twoCellAnchor>
  <xdr:twoCellAnchor>
    <xdr:from>
      <xdr:col>3</xdr:col>
      <xdr:colOff>176736</xdr:colOff>
      <xdr:row>41</xdr:row>
      <xdr:rowOff>84215</xdr:rowOff>
    </xdr:from>
    <xdr:to>
      <xdr:col>21</xdr:col>
      <xdr:colOff>167107</xdr:colOff>
      <xdr:row>57</xdr:row>
      <xdr:rowOff>89123</xdr:rowOff>
    </xdr:to>
    <xdr:sp macro="" textlink="">
      <xdr:nvSpPr>
        <xdr:cNvPr id="59" name="Rectangle: Rounded Corners 58">
          <a:extLst>
            <a:ext uri="{FF2B5EF4-FFF2-40B4-BE49-F238E27FC236}">
              <a16:creationId xmlns:a16="http://schemas.microsoft.com/office/drawing/2014/main" id="{A138B09B-721C-4B81-5622-BEC7C7609A30}"/>
            </a:ext>
          </a:extLst>
        </xdr:cNvPr>
        <xdr:cNvSpPr/>
      </xdr:nvSpPr>
      <xdr:spPr>
        <a:xfrm>
          <a:off x="2014894" y="7849040"/>
          <a:ext cx="11019318" cy="3035083"/>
        </a:xfrm>
        <a:prstGeom prst="roundRect">
          <a:avLst>
            <a:gd name="adj" fmla="val 0"/>
          </a:avLst>
        </a:prstGeom>
        <a:no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475470</xdr:colOff>
      <xdr:row>43</xdr:row>
      <xdr:rowOff>158254</xdr:rowOff>
    </xdr:from>
    <xdr:to>
      <xdr:col>20</xdr:col>
      <xdr:colOff>590439</xdr:colOff>
      <xdr:row>51</xdr:row>
      <xdr:rowOff>111404</xdr:rowOff>
    </xdr:to>
    <xdr:sp macro="" textlink="">
      <xdr:nvSpPr>
        <xdr:cNvPr id="58" name="Rectangle: Rounded Corners 57">
          <a:extLst>
            <a:ext uri="{FF2B5EF4-FFF2-40B4-BE49-F238E27FC236}">
              <a16:creationId xmlns:a16="http://schemas.microsoft.com/office/drawing/2014/main" id="{0579EF22-E583-45AA-A5A1-78AE205350D8}"/>
            </a:ext>
          </a:extLst>
        </xdr:cNvPr>
        <xdr:cNvSpPr/>
      </xdr:nvSpPr>
      <xdr:spPr>
        <a:xfrm>
          <a:off x="10278979" y="8301850"/>
          <a:ext cx="2565846" cy="1468238"/>
        </a:xfrm>
        <a:prstGeom prst="roundRect">
          <a:avLst>
            <a:gd name="adj" fmla="val 3536"/>
          </a:avLst>
        </a:prstGeom>
        <a:solidFill>
          <a:schemeClr val="accent1">
            <a:lumMod val="20000"/>
            <a:lumOff val="80000"/>
          </a:schemeClr>
        </a:solid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16</xdr:col>
      <xdr:colOff>586284</xdr:colOff>
      <xdr:row>44</xdr:row>
      <xdr:rowOff>153701</xdr:rowOff>
    </xdr:from>
    <xdr:to>
      <xdr:col>20</xdr:col>
      <xdr:colOff>512456</xdr:colOff>
      <xdr:row>49</xdr:row>
      <xdr:rowOff>77982</xdr:rowOff>
    </xdr:to>
    <xdr:sp macro="" textlink="">
      <xdr:nvSpPr>
        <xdr:cNvPr id="27" name="TextBox 26">
          <a:extLst>
            <a:ext uri="{FF2B5EF4-FFF2-40B4-BE49-F238E27FC236}">
              <a16:creationId xmlns:a16="http://schemas.microsoft.com/office/drawing/2014/main" id="{ABC8AF6C-8EDE-E243-56BA-50197FD14347}"/>
            </a:ext>
          </a:extLst>
        </xdr:cNvPr>
        <xdr:cNvSpPr txBox="1"/>
      </xdr:nvSpPr>
      <xdr:spPr>
        <a:xfrm>
          <a:off x="10389793" y="8486683"/>
          <a:ext cx="2377049" cy="871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1"/>
            <a:t>Key</a:t>
          </a:r>
          <a:r>
            <a:rPr lang="en-GB" sz="1100" b="1" i="1" baseline="0"/>
            <a:t> Insight:  </a:t>
          </a:r>
          <a:r>
            <a:rPr lang="en-GB" sz="1100"/>
            <a:t>Shorter commutes (0–5 miles) correlate with a</a:t>
          </a:r>
          <a:r>
            <a:rPr lang="en-GB" sz="1100" baseline="0"/>
            <a:t> </a:t>
          </a:r>
          <a:r>
            <a:rPr lang="en-GB" sz="1100"/>
            <a:t>higher bike purchase rate, suggesting riders</a:t>
          </a:r>
          <a:r>
            <a:rPr lang="en-GB" sz="1100" baseline="0"/>
            <a:t> </a:t>
          </a:r>
          <a:r>
            <a:rPr lang="en-GB" sz="1100"/>
            <a:t>prefer bikes for local or short-distance travel.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nah Onakade" refreshedDate="45988.751504861109" createdVersion="8" refreshedVersion="8" minRefreshableVersion="3" recordCount="1000" xr:uid="{0C0C5A89-7386-44D3-A0E1-F3C0389A1FD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Group"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089220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8843AC-A3CA-4846-A7C4-5833835C4BF7}" name="PivotTable3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W4:W5" firstHeaderRow="1" firstDataRow="1" firstDataCol="0"/>
  <pivotFields count="14">
    <pivotField dataField="1"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s>
  <rowItems count="1">
    <i/>
  </rowItems>
  <colItems count="1">
    <i/>
  </colItems>
  <dataFields count="1">
    <dataField name="Count of ID" fld="0" subtotal="count"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1F568C-3C64-4E56-BF0E-F94BBE56FA12}" name="PivotTable2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AD5984-1157-4850-B5CE-95D2307B7649}" name="PivotTable3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O3:R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DFCD87-CCCA-4984-BC87-2D2173C0F963}" name="PivotTable3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W10:X13" firstHeaderRow="1" firstDataRow="1"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Row" dataField="1" showAll="0">
      <items count="3">
        <item x="0"/>
        <item x="1"/>
        <item t="default"/>
      </items>
    </pivotField>
  </pivotFields>
  <rowFields count="1">
    <field x="13"/>
  </rowFields>
  <rowItems count="3">
    <i>
      <x/>
    </i>
    <i>
      <x v="1"/>
    </i>
    <i t="grand">
      <x/>
    </i>
  </rowItems>
  <colItems count="1">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51BAB0-50AF-40FC-B783-57725D51CA7A}" name="PivotTable3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W34:X38" firstHeaderRow="1" firstDataRow="1" firstDataCol="1" rowPageCount="1" colPageCount="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axis="axisPage" dataField="1" showAll="0">
      <items count="3">
        <item x="0"/>
        <item x="1"/>
        <item t="default"/>
      </items>
    </pivotField>
  </pivotFields>
  <rowFields count="1">
    <field x="10"/>
  </rowFields>
  <rowItems count="4">
    <i>
      <x v="1"/>
    </i>
    <i>
      <x/>
    </i>
    <i>
      <x v="2"/>
    </i>
    <i t="grand">
      <x/>
    </i>
  </rowItems>
  <colItems count="1">
    <i/>
  </colItems>
  <pageFields count="1">
    <pageField fld="13" hier="-1"/>
  </pageField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79E678-929A-4867-A474-90FD4DF18B8D}" name="PivotTable3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K1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1AF633-4FCA-4420-8D6D-05EF9C0BFE5E}" name="PivotTable3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W26:W27" firstHeaderRow="1" firstDataRow="1" firstDataCol="0" rowPageCount="1" colPageCount="1"/>
  <pivotFields count="14">
    <pivotField showAll="0"/>
    <pivotField showAll="0">
      <items count="3">
        <item x="0"/>
        <item x="1"/>
        <item t="default"/>
      </items>
    </pivotField>
    <pivotField showAll="0"/>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Page" showAll="0">
      <items count="3">
        <item x="0"/>
        <item x="1"/>
        <item t="default"/>
      </items>
    </pivotField>
  </pivotFields>
  <rowItems count="1">
    <i/>
  </rowItems>
  <colItems count="1">
    <i/>
  </colItems>
  <pageFields count="1">
    <pageField fld="13" hier="-1"/>
  </pageFields>
  <dataFields count="1">
    <dataField name="Average of Income" fld="3"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3E54DC2-DF06-4B54-AE66-C78425910A46}" sourceName="Marital Status">
  <pivotTables>
    <pivotTable tabId="3" name="PivotTable31"/>
    <pivotTable tabId="3" name="PivotTable29"/>
    <pivotTable tabId="3" name="PivotTable30"/>
    <pivotTable tabId="3" name="PivotTable32"/>
    <pivotTable tabId="3" name="PivotTable33"/>
    <pivotTable tabId="3" name="PivotTable35"/>
    <pivotTable tabId="3" name="PivotTable36"/>
  </pivotTables>
  <data>
    <tabular pivotCacheId="4089220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6BD8450-328C-4CA5-84C9-0CE34585504C}" sourceName="Education">
  <pivotTables>
    <pivotTable tabId="3" name="PivotTable29"/>
    <pivotTable tabId="3" name="PivotTable30"/>
    <pivotTable tabId="3" name="PivotTable31"/>
    <pivotTable tabId="3" name="PivotTable32"/>
    <pivotTable tabId="3" name="PivotTable33"/>
    <pivotTable tabId="3" name="PivotTable35"/>
    <pivotTable tabId="3" name="PivotTable36"/>
  </pivotTables>
  <data>
    <tabular pivotCacheId="40892206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CEBD423-AD18-4D05-9B2E-FE8BDBE38712}" sourceName="Region">
  <pivotTables>
    <pivotTable tabId="3" name="PivotTable29"/>
    <pivotTable tabId="3" name="PivotTable30"/>
    <pivotTable tabId="3" name="PivotTable31"/>
    <pivotTable tabId="3" name="PivotTable32"/>
    <pivotTable tabId="3" name="PivotTable33"/>
    <pivotTable tabId="3" name="PivotTable35"/>
    <pivotTable tabId="3" name="PivotTable36"/>
  </pivotTables>
  <data>
    <tabular pivotCacheId="40892206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DFA68DA-0E70-4E83-A415-C61EE5862282}" cache="Slicer_Marital_Status" caption="Marital Status" rowHeight="241300"/>
  <slicer name="Education" xr10:uid="{9A0D68F4-29D7-45F2-A00F-DDC8BBF402F2}" cache="Slicer_Education" caption="Education" rowHeight="241300"/>
  <slicer name="Region" xr10:uid="{4087F501-1C37-4E7F-A8BA-50DC58008D6C}"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10" sqref="E10"/>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0B099-A8C9-4DD9-A693-96B6027B2219}">
  <dimension ref="A1:N1001"/>
  <sheetViews>
    <sheetView workbookViewId="0">
      <selection activeCell="E13" sqref="E13"/>
    </sheetView>
  </sheetViews>
  <sheetFormatPr defaultColWidth="11.90625" defaultRowHeight="14.5" x14ac:dyDescent="0.35"/>
  <cols>
    <col min="4" max="4" width="12.08984375" style="3" bestFit="1"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84BF4-877D-4C08-A94B-397FE96939E9}">
  <dimension ref="A2:Z38"/>
  <sheetViews>
    <sheetView topLeftCell="M1" workbookViewId="0">
      <selection activeCell="W30" sqref="W30"/>
    </sheetView>
  </sheetViews>
  <sheetFormatPr defaultRowHeight="14.5" x14ac:dyDescent="0.35"/>
  <cols>
    <col min="1" max="1" width="16.453125" bestFit="1" customWidth="1"/>
    <col min="2" max="2" width="15.26953125" bestFit="1" customWidth="1"/>
    <col min="3" max="3" width="8.6328125" bestFit="1" customWidth="1"/>
    <col min="4" max="4" width="10.7265625" bestFit="1" customWidth="1"/>
    <col min="6" max="6" width="8.7265625" style="7"/>
    <col min="8" max="8" width="21.54296875" bestFit="1" customWidth="1"/>
    <col min="9" max="9" width="15.26953125" bestFit="1" customWidth="1"/>
    <col min="10" max="10" width="3.81640625" bestFit="1" customWidth="1"/>
    <col min="11" max="11" width="10.7265625" bestFit="1" customWidth="1"/>
    <col min="13" max="13" width="8.7265625" style="7"/>
    <col min="15" max="15" width="21.54296875" bestFit="1" customWidth="1"/>
    <col min="16" max="16" width="15.26953125" bestFit="1" customWidth="1"/>
    <col min="17" max="17" width="3.81640625" bestFit="1" customWidth="1"/>
    <col min="18" max="18" width="10.7265625" bestFit="1" customWidth="1"/>
    <col min="21" max="21" width="8.7265625" style="7"/>
    <col min="23" max="23" width="37" bestFit="1" customWidth="1"/>
    <col min="24" max="24" width="21.54296875" bestFit="1" customWidth="1"/>
    <col min="25" max="25" width="13.26953125" customWidth="1"/>
    <col min="26" max="26" width="10.7265625" bestFit="1" customWidth="1"/>
  </cols>
  <sheetData>
    <row r="2" spans="1:25" x14ac:dyDescent="0.35">
      <c r="W2" s="10" t="s">
        <v>52</v>
      </c>
    </row>
    <row r="3" spans="1:25" x14ac:dyDescent="0.35">
      <c r="A3" s="4" t="s">
        <v>43</v>
      </c>
      <c r="B3" s="4" t="s">
        <v>44</v>
      </c>
      <c r="H3" s="4" t="s">
        <v>45</v>
      </c>
      <c r="I3" s="4" t="s">
        <v>44</v>
      </c>
      <c r="O3" s="4" t="s">
        <v>45</v>
      </c>
      <c r="P3" s="4" t="s">
        <v>44</v>
      </c>
    </row>
    <row r="4" spans="1:25" x14ac:dyDescent="0.35">
      <c r="A4" s="4" t="s">
        <v>41</v>
      </c>
      <c r="B4" t="s">
        <v>18</v>
      </c>
      <c r="C4" t="s">
        <v>15</v>
      </c>
      <c r="D4" t="s">
        <v>42</v>
      </c>
      <c r="H4" s="4" t="s">
        <v>41</v>
      </c>
      <c r="I4" t="s">
        <v>18</v>
      </c>
      <c r="J4" t="s">
        <v>15</v>
      </c>
      <c r="K4" t="s">
        <v>42</v>
      </c>
      <c r="O4" s="4" t="s">
        <v>41</v>
      </c>
      <c r="P4" t="s">
        <v>18</v>
      </c>
      <c r="Q4" t="s">
        <v>15</v>
      </c>
      <c r="R4" t="s">
        <v>42</v>
      </c>
      <c r="W4" t="s">
        <v>53</v>
      </c>
      <c r="Y4" t="str">
        <f>W4</f>
        <v>Count of ID</v>
      </c>
    </row>
    <row r="5" spans="1:25" x14ac:dyDescent="0.35">
      <c r="A5" s="5" t="s">
        <v>38</v>
      </c>
      <c r="B5" s="6">
        <v>53440</v>
      </c>
      <c r="C5" s="6">
        <v>55774.058577405856</v>
      </c>
      <c r="D5" s="6">
        <v>54580.777096114522</v>
      </c>
      <c r="H5" s="5" t="s">
        <v>16</v>
      </c>
      <c r="I5">
        <v>166</v>
      </c>
      <c r="J5">
        <v>200</v>
      </c>
      <c r="K5">
        <v>366</v>
      </c>
      <c r="O5" s="5" t="s">
        <v>47</v>
      </c>
      <c r="P5">
        <v>71</v>
      </c>
      <c r="Q5">
        <v>39</v>
      </c>
      <c r="R5">
        <v>110</v>
      </c>
      <c r="W5" s="9">
        <v>1000</v>
      </c>
      <c r="Y5" s="9">
        <f>W5</f>
        <v>1000</v>
      </c>
    </row>
    <row r="6" spans="1:25" x14ac:dyDescent="0.35">
      <c r="A6" s="5" t="s">
        <v>39</v>
      </c>
      <c r="B6" s="6">
        <v>56208.178438661707</v>
      </c>
      <c r="C6" s="6">
        <v>60123.966942148763</v>
      </c>
      <c r="D6" s="6">
        <v>58062.62230919765</v>
      </c>
      <c r="H6" s="5" t="s">
        <v>26</v>
      </c>
      <c r="I6">
        <v>92</v>
      </c>
      <c r="J6">
        <v>77</v>
      </c>
      <c r="K6">
        <v>169</v>
      </c>
      <c r="O6" s="5" t="s">
        <v>48</v>
      </c>
      <c r="P6">
        <v>318</v>
      </c>
      <c r="Q6">
        <v>383</v>
      </c>
      <c r="R6">
        <v>701</v>
      </c>
    </row>
    <row r="7" spans="1:25" x14ac:dyDescent="0.35">
      <c r="A7" s="5" t="s">
        <v>42</v>
      </c>
      <c r="B7" s="6">
        <v>54874.759152215796</v>
      </c>
      <c r="C7" s="6">
        <v>57962.577962577961</v>
      </c>
      <c r="D7" s="6">
        <v>56360</v>
      </c>
      <c r="H7" s="5" t="s">
        <v>22</v>
      </c>
      <c r="I7">
        <v>67</v>
      </c>
      <c r="J7">
        <v>95</v>
      </c>
      <c r="K7">
        <v>162</v>
      </c>
      <c r="O7" s="5" t="s">
        <v>49</v>
      </c>
      <c r="P7">
        <v>130</v>
      </c>
      <c r="Q7">
        <v>59</v>
      </c>
      <c r="R7">
        <v>189</v>
      </c>
    </row>
    <row r="8" spans="1:25" x14ac:dyDescent="0.35">
      <c r="H8" s="5" t="s">
        <v>23</v>
      </c>
      <c r="I8">
        <v>116</v>
      </c>
      <c r="J8">
        <v>76</v>
      </c>
      <c r="K8">
        <v>192</v>
      </c>
      <c r="O8" s="5" t="s">
        <v>42</v>
      </c>
      <c r="P8">
        <v>519</v>
      </c>
      <c r="Q8">
        <v>481</v>
      </c>
      <c r="R8">
        <v>1000</v>
      </c>
    </row>
    <row r="9" spans="1:25" x14ac:dyDescent="0.35">
      <c r="H9" s="5" t="s">
        <v>46</v>
      </c>
      <c r="I9">
        <v>78</v>
      </c>
      <c r="J9">
        <v>33</v>
      </c>
      <c r="K9">
        <v>111</v>
      </c>
      <c r="W9" s="10" t="s">
        <v>50</v>
      </c>
    </row>
    <row r="10" spans="1:25" x14ac:dyDescent="0.35">
      <c r="H10" s="5" t="s">
        <v>42</v>
      </c>
      <c r="I10">
        <v>519</v>
      </c>
      <c r="J10">
        <v>481</v>
      </c>
      <c r="K10">
        <v>1000</v>
      </c>
      <c r="W10" s="4" t="s">
        <v>41</v>
      </c>
      <c r="X10" t="s">
        <v>45</v>
      </c>
    </row>
    <row r="11" spans="1:25" x14ac:dyDescent="0.35">
      <c r="W11" s="5" t="s">
        <v>18</v>
      </c>
      <c r="X11">
        <v>519</v>
      </c>
    </row>
    <row r="12" spans="1:25" x14ac:dyDescent="0.35">
      <c r="W12" s="5" t="s">
        <v>15</v>
      </c>
      <c r="X12">
        <v>481</v>
      </c>
    </row>
    <row r="13" spans="1:25" x14ac:dyDescent="0.35">
      <c r="W13" s="5" t="s">
        <v>42</v>
      </c>
      <c r="X13">
        <v>1000</v>
      </c>
    </row>
    <row r="16" spans="1:25" x14ac:dyDescent="0.35">
      <c r="W16" s="11" t="s">
        <v>54</v>
      </c>
    </row>
    <row r="18" spans="23:25" x14ac:dyDescent="0.35">
      <c r="W18" s="8">
        <f>(X12/W5)</f>
        <v>0.48099999999999998</v>
      </c>
    </row>
    <row r="22" spans="23:25" x14ac:dyDescent="0.35">
      <c r="W22" s="10" t="s">
        <v>51</v>
      </c>
    </row>
    <row r="24" spans="23:25" x14ac:dyDescent="0.35">
      <c r="W24" s="4" t="s">
        <v>12</v>
      </c>
      <c r="X24" t="s">
        <v>55</v>
      </c>
    </row>
    <row r="26" spans="23:25" x14ac:dyDescent="0.35">
      <c r="W26" t="s">
        <v>43</v>
      </c>
      <c r="Y26" t="str">
        <f>W26</f>
        <v>Average of Income</v>
      </c>
    </row>
    <row r="27" spans="23:25" x14ac:dyDescent="0.35">
      <c r="W27" s="6">
        <v>56360</v>
      </c>
      <c r="Y27" s="3">
        <f>W27</f>
        <v>56360</v>
      </c>
    </row>
    <row r="30" spans="23:25" x14ac:dyDescent="0.35">
      <c r="W30" s="10" t="s">
        <v>56</v>
      </c>
    </row>
    <row r="32" spans="23:25" x14ac:dyDescent="0.35">
      <c r="W32" s="4" t="s">
        <v>12</v>
      </c>
      <c r="X32" t="s">
        <v>55</v>
      </c>
    </row>
    <row r="34" spans="23:26" x14ac:dyDescent="0.35">
      <c r="W34" s="4" t="s">
        <v>41</v>
      </c>
      <c r="X34" t="s">
        <v>45</v>
      </c>
    </row>
    <row r="35" spans="23:26" x14ac:dyDescent="0.35">
      <c r="W35" s="5" t="s">
        <v>32</v>
      </c>
      <c r="X35">
        <v>508</v>
      </c>
      <c r="Y35" t="str" cm="1">
        <f t="array" ref="Y35:Y37">W35:W37</f>
        <v>North America</v>
      </c>
      <c r="Z35" cm="1">
        <f t="array" ref="Z35:Z37">X35:X37</f>
        <v>508</v>
      </c>
    </row>
    <row r="36" spans="23:26" x14ac:dyDescent="0.35">
      <c r="W36" s="5" t="s">
        <v>17</v>
      </c>
      <c r="X36">
        <v>300</v>
      </c>
      <c r="Y36" t="str">
        <v>Europe</v>
      </c>
      <c r="Z36">
        <v>300</v>
      </c>
    </row>
    <row r="37" spans="23:26" x14ac:dyDescent="0.35">
      <c r="W37" s="5" t="s">
        <v>24</v>
      </c>
      <c r="X37">
        <v>192</v>
      </c>
      <c r="Y37" t="str">
        <v>Pacific</v>
      </c>
      <c r="Z37">
        <v>192</v>
      </c>
    </row>
    <row r="38" spans="23:26" x14ac:dyDescent="0.35">
      <c r="W38" s="5" t="s">
        <v>42</v>
      </c>
      <c r="X38">
        <v>1000</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633D2-9E8E-408F-81FF-0081C27202A8}">
  <dimension ref="A1:X6"/>
  <sheetViews>
    <sheetView showGridLines="0" tabSelected="1" zoomScale="35" zoomScaleNormal="35" workbookViewId="0">
      <selection activeCell="X25" sqref="X25"/>
    </sheetView>
  </sheetViews>
  <sheetFormatPr defaultRowHeight="14.5" x14ac:dyDescent="0.35"/>
  <cols>
    <col min="20" max="20" width="8.7265625" customWidth="1"/>
  </cols>
  <sheetData>
    <row r="1" spans="1:24" ht="14.5" customHeight="1" x14ac:dyDescent="0.35">
      <c r="A1" s="12"/>
      <c r="B1" s="12"/>
      <c r="C1" s="12"/>
      <c r="D1" s="12"/>
      <c r="E1" s="12"/>
      <c r="F1" s="12"/>
      <c r="G1" s="12"/>
      <c r="H1" s="12"/>
      <c r="I1" s="12"/>
      <c r="J1" s="12"/>
      <c r="K1" s="12"/>
      <c r="L1" s="12"/>
      <c r="M1" s="12"/>
      <c r="N1" s="12"/>
      <c r="O1" s="12"/>
      <c r="P1" s="12"/>
      <c r="Q1" s="12"/>
      <c r="R1" s="12"/>
      <c r="S1" s="12"/>
      <c r="T1" s="12"/>
      <c r="U1" s="12"/>
      <c r="V1" s="12"/>
    </row>
    <row r="2" spans="1:24" ht="14.5" customHeight="1" x14ac:dyDescent="0.35">
      <c r="A2" s="12"/>
      <c r="B2" s="12"/>
      <c r="C2" s="12"/>
      <c r="D2" s="12"/>
      <c r="E2" s="12"/>
      <c r="F2" s="12"/>
      <c r="G2" s="12"/>
      <c r="H2" s="12"/>
      <c r="I2" s="12"/>
      <c r="J2" s="12"/>
      <c r="K2" s="12"/>
      <c r="L2" s="12"/>
      <c r="M2" s="12"/>
      <c r="N2" s="12"/>
      <c r="O2" s="12"/>
      <c r="P2" s="12"/>
      <c r="Q2" s="12"/>
      <c r="R2" s="12"/>
      <c r="S2" s="12"/>
      <c r="T2" s="12"/>
      <c r="U2" s="12"/>
      <c r="V2" s="12"/>
      <c r="X2" s="5"/>
    </row>
    <row r="3" spans="1:24" ht="14.5" customHeight="1" x14ac:dyDescent="0.35">
      <c r="A3" s="12"/>
      <c r="B3" s="12"/>
      <c r="C3" s="12"/>
      <c r="D3" s="12"/>
      <c r="E3" s="12"/>
      <c r="F3" s="12"/>
      <c r="G3" s="12"/>
      <c r="H3" s="12"/>
      <c r="I3" s="12"/>
      <c r="J3" s="12"/>
      <c r="K3" s="12"/>
      <c r="L3" s="12"/>
      <c r="M3" s="12"/>
      <c r="N3" s="12"/>
      <c r="O3" s="12"/>
      <c r="P3" s="12"/>
      <c r="Q3" s="12"/>
      <c r="R3" s="12"/>
      <c r="S3" s="12"/>
      <c r="T3" s="12"/>
      <c r="U3" s="12"/>
      <c r="V3" s="12"/>
    </row>
    <row r="4" spans="1:24" ht="14.5" customHeight="1" x14ac:dyDescent="0.35">
      <c r="A4" s="12"/>
      <c r="B4" s="12"/>
      <c r="C4" s="12"/>
      <c r="D4" s="12"/>
      <c r="E4" s="12"/>
      <c r="F4" s="12"/>
      <c r="G4" s="12"/>
      <c r="H4" s="12"/>
      <c r="I4" s="12"/>
      <c r="J4" s="12"/>
      <c r="K4" s="12"/>
      <c r="L4" s="12"/>
      <c r="M4" s="12"/>
      <c r="N4" s="12"/>
      <c r="O4" s="12"/>
      <c r="P4" s="12"/>
      <c r="Q4" s="12"/>
      <c r="R4" s="12"/>
      <c r="S4" s="12"/>
      <c r="T4" s="12"/>
      <c r="U4" s="12"/>
      <c r="V4" s="12"/>
    </row>
    <row r="5" spans="1:24" ht="14.5" customHeight="1" x14ac:dyDescent="0.35">
      <c r="A5" s="12"/>
      <c r="B5" s="12"/>
      <c r="C5" s="12"/>
      <c r="D5" s="12"/>
      <c r="E5" s="12"/>
      <c r="F5" s="12"/>
      <c r="G5" s="12"/>
      <c r="H5" s="12"/>
      <c r="I5" s="12"/>
      <c r="J5" s="12"/>
      <c r="K5" s="12"/>
      <c r="L5" s="12"/>
      <c r="M5" s="12"/>
      <c r="N5" s="12"/>
      <c r="O5" s="12"/>
      <c r="P5" s="12"/>
      <c r="Q5" s="12"/>
      <c r="R5" s="12"/>
      <c r="S5" s="12"/>
      <c r="T5" s="12"/>
      <c r="U5" s="12"/>
      <c r="V5" s="12"/>
    </row>
    <row r="6" spans="1:24" ht="14.5" customHeight="1" x14ac:dyDescent="0.35">
      <c r="A6" s="12"/>
      <c r="B6" s="12"/>
      <c r="C6" s="12"/>
      <c r="D6" s="12"/>
      <c r="E6" s="12"/>
      <c r="F6" s="12"/>
      <c r="G6" s="12"/>
      <c r="H6" s="12"/>
      <c r="I6" s="12"/>
      <c r="J6" s="12"/>
      <c r="K6" s="12"/>
      <c r="L6" s="12"/>
      <c r="M6" s="12"/>
      <c r="N6" s="12"/>
      <c r="O6" s="12"/>
      <c r="P6" s="12"/>
      <c r="Q6" s="12"/>
      <c r="R6" s="12"/>
      <c r="S6" s="12"/>
      <c r="T6" s="12"/>
      <c r="U6" s="12"/>
      <c r="V6" s="12"/>
    </row>
  </sheetData>
  <mergeCells count="1">
    <mergeCell ref="A1:V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Working Sheet</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Hannah Onakade</dc:creator>
  <cp:lastModifiedBy>Hannah Onakade</cp:lastModifiedBy>
  <dcterms:created xsi:type="dcterms:W3CDTF">2022-03-18T02:50:57Z</dcterms:created>
  <dcterms:modified xsi:type="dcterms:W3CDTF">2025-11-28T09:36:17Z</dcterms:modified>
</cp:coreProperties>
</file>